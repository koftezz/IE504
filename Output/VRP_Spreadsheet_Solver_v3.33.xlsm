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3b8714300244e8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tuhan.organ\Desktop\IEOzU\IE504\IE504\Output\"/>
    </mc:Choice>
  </mc:AlternateContent>
  <xr:revisionPtr revIDLastSave="0" documentId="13_ncr:1_{5D17A2EF-6611-4F5F-8F3E-384684CCD958}" xr6:coauthVersionLast="45" xr6:coauthVersionMax="45" xr10:uidLastSave="{00000000-0000-0000-0000-000000000000}"/>
  <bookViews>
    <workbookView xWindow="-108" yWindow="-108" windowWidth="23256" windowHeight="12576" tabRatio="705" activeTab="5" xr2:uid="{00000000-000D-0000-FFFF-FFFF00000000}"/>
  </bookViews>
  <sheets>
    <sheet name="VRP Solver Console" sheetId="231" r:id="rId1"/>
    <sheet name="1.Locations" sheetId="238" r:id="rId2"/>
    <sheet name="2.Distances" sheetId="243" r:id="rId3"/>
    <sheet name="3.Vehicles" sheetId="244" r:id="rId4"/>
    <sheet name="4.Solution" sheetId="245" r:id="rId5"/>
    <sheet name="Sheet15" sheetId="24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D3" i="245" l="1"/>
  <c r="FF5" i="245"/>
  <c r="EY5" i="245"/>
  <c r="EM3" i="245"/>
  <c r="EO5" i="245"/>
  <c r="EH5" i="245"/>
  <c r="DV3" i="245"/>
  <c r="DX5" i="245"/>
  <c r="DQ5" i="245"/>
  <c r="DE3" i="245"/>
  <c r="DG5" i="245"/>
  <c r="CZ5" i="245"/>
  <c r="CN3" i="245"/>
  <c r="CP5" i="245"/>
  <c r="CI5" i="245"/>
  <c r="BW3" i="245"/>
  <c r="BY5" i="245"/>
  <c r="BR5" i="245"/>
  <c r="BF3" i="245"/>
  <c r="BH5" i="245"/>
  <c r="BA5" i="245"/>
  <c r="AO3" i="245"/>
  <c r="AQ5" i="245"/>
  <c r="AJ5" i="245"/>
  <c r="X3" i="245"/>
  <c r="Z5" i="245"/>
  <c r="S5" i="245"/>
  <c r="G3" i="245"/>
  <c r="I5" i="245"/>
  <c r="B5" i="245"/>
  <c r="L2" i="244"/>
  <c r="D400" i="243"/>
  <c r="D399" i="243"/>
  <c r="D398" i="243"/>
  <c r="D397" i="243"/>
  <c r="D396" i="243"/>
  <c r="D395" i="243"/>
  <c r="D394" i="243"/>
  <c r="D393" i="243"/>
  <c r="D392" i="243"/>
  <c r="D391" i="243"/>
  <c r="D390" i="243"/>
  <c r="D389" i="243"/>
  <c r="D388" i="243"/>
  <c r="D387" i="243"/>
  <c r="D386" i="243"/>
  <c r="D385" i="243"/>
  <c r="D384" i="243"/>
  <c r="D383" i="243"/>
  <c r="D382" i="243"/>
  <c r="D381" i="243"/>
  <c r="D379" i="243"/>
  <c r="D378" i="243"/>
  <c r="D377" i="243"/>
  <c r="D376" i="243"/>
  <c r="D375" i="243"/>
  <c r="D374" i="243"/>
  <c r="D373" i="243"/>
  <c r="D372" i="243"/>
  <c r="D371" i="243"/>
  <c r="D370" i="243"/>
  <c r="D369" i="243"/>
  <c r="D368" i="243"/>
  <c r="D367" i="243"/>
  <c r="D366" i="243"/>
  <c r="D365" i="243"/>
  <c r="D364" i="243"/>
  <c r="D363" i="243"/>
  <c r="D362" i="243"/>
  <c r="D361" i="243"/>
  <c r="D360" i="243"/>
  <c r="D358" i="243"/>
  <c r="D357" i="243"/>
  <c r="D356" i="243"/>
  <c r="D355" i="243"/>
  <c r="D354" i="243"/>
  <c r="D353" i="243"/>
  <c r="D352" i="243"/>
  <c r="D351" i="243"/>
  <c r="D350" i="243"/>
  <c r="D349" i="243"/>
  <c r="D348" i="243"/>
  <c r="D347" i="243"/>
  <c r="D346" i="243"/>
  <c r="D345" i="243"/>
  <c r="D344" i="243"/>
  <c r="D343" i="243"/>
  <c r="D342" i="243"/>
  <c r="D341" i="243"/>
  <c r="D340" i="243"/>
  <c r="D339" i="243"/>
  <c r="D337" i="243"/>
  <c r="D336" i="243"/>
  <c r="D335" i="243"/>
  <c r="D334" i="243"/>
  <c r="D333" i="243"/>
  <c r="D332" i="243"/>
  <c r="D331" i="243"/>
  <c r="D330" i="243"/>
  <c r="D329" i="243"/>
  <c r="D328" i="243"/>
  <c r="D327" i="243"/>
  <c r="D326" i="243"/>
  <c r="D325" i="243"/>
  <c r="D324" i="243"/>
  <c r="D323" i="243"/>
  <c r="D322" i="243"/>
  <c r="D321" i="243"/>
  <c r="D320" i="243"/>
  <c r="D319" i="243"/>
  <c r="D318" i="243"/>
  <c r="D316" i="243"/>
  <c r="D315" i="243"/>
  <c r="D314" i="243"/>
  <c r="D313" i="243"/>
  <c r="D312" i="243"/>
  <c r="D311" i="243"/>
  <c r="D310" i="243"/>
  <c r="D309" i="243"/>
  <c r="D308" i="243"/>
  <c r="D307" i="243"/>
  <c r="D306" i="243"/>
  <c r="D305" i="243"/>
  <c r="D304" i="243"/>
  <c r="D303" i="243"/>
  <c r="D302" i="243"/>
  <c r="D301" i="243"/>
  <c r="D300" i="243"/>
  <c r="D299" i="243"/>
  <c r="D298" i="243"/>
  <c r="D297" i="243"/>
  <c r="D295" i="243"/>
  <c r="D294" i="243"/>
  <c r="D293" i="243"/>
  <c r="D292" i="243"/>
  <c r="D291" i="243"/>
  <c r="D290" i="243"/>
  <c r="D289" i="243"/>
  <c r="D288" i="243"/>
  <c r="D287" i="243"/>
  <c r="D286" i="243"/>
  <c r="D285" i="243"/>
  <c r="D284" i="243"/>
  <c r="D283" i="243"/>
  <c r="D282" i="243"/>
  <c r="D281" i="243"/>
  <c r="D280" i="243"/>
  <c r="D279" i="243"/>
  <c r="D278" i="243"/>
  <c r="D277" i="243"/>
  <c r="D276" i="243"/>
  <c r="D274" i="243"/>
  <c r="D273" i="243"/>
  <c r="D272" i="243"/>
  <c r="D271" i="243"/>
  <c r="D270" i="243"/>
  <c r="D269" i="243"/>
  <c r="D268" i="243"/>
  <c r="D267" i="243"/>
  <c r="D266" i="243"/>
  <c r="D265" i="243"/>
  <c r="D264" i="243"/>
  <c r="D263" i="243"/>
  <c r="D262" i="243"/>
  <c r="D261" i="243"/>
  <c r="D260" i="243"/>
  <c r="D259" i="243"/>
  <c r="D258" i="243"/>
  <c r="D257" i="243"/>
  <c r="D256" i="243"/>
  <c r="D255" i="243"/>
  <c r="D253" i="243"/>
  <c r="D252" i="243"/>
  <c r="D251" i="243"/>
  <c r="D250" i="243"/>
  <c r="D249" i="243"/>
  <c r="D248" i="243"/>
  <c r="D247" i="243"/>
  <c r="D246" i="243"/>
  <c r="D245" i="243"/>
  <c r="D244" i="243"/>
  <c r="D243" i="243"/>
  <c r="D242" i="243"/>
  <c r="D241" i="243"/>
  <c r="D240" i="243"/>
  <c r="D239" i="243"/>
  <c r="D238" i="243"/>
  <c r="D237" i="243"/>
  <c r="D236" i="243"/>
  <c r="D235" i="243"/>
  <c r="D234" i="243"/>
  <c r="D232" i="243"/>
  <c r="D231" i="243"/>
  <c r="D230" i="243"/>
  <c r="D229" i="243"/>
  <c r="D228" i="243"/>
  <c r="D227" i="243"/>
  <c r="D226" i="243"/>
  <c r="D225" i="243"/>
  <c r="D224" i="243"/>
  <c r="D223" i="243"/>
  <c r="D222" i="243"/>
  <c r="D221" i="243"/>
  <c r="D220" i="243"/>
  <c r="D219" i="243"/>
  <c r="D218" i="243"/>
  <c r="D217" i="243"/>
  <c r="D216" i="243"/>
  <c r="D215" i="243"/>
  <c r="D214" i="243"/>
  <c r="D213" i="243"/>
  <c r="D211" i="243"/>
  <c r="D210" i="243"/>
  <c r="D209" i="243"/>
  <c r="D208" i="243"/>
  <c r="D207" i="243"/>
  <c r="D206" i="243"/>
  <c r="D205" i="243"/>
  <c r="D204" i="243"/>
  <c r="D203" i="243"/>
  <c r="D202" i="243"/>
  <c r="D201" i="243"/>
  <c r="D200" i="243"/>
  <c r="D199" i="243"/>
  <c r="D198" i="243"/>
  <c r="D197" i="243"/>
  <c r="D196" i="243"/>
  <c r="D195" i="243"/>
  <c r="D194" i="243"/>
  <c r="D193" i="243"/>
  <c r="D192" i="243"/>
  <c r="D190" i="243"/>
  <c r="D189" i="243"/>
  <c r="D188" i="243"/>
  <c r="D187" i="243"/>
  <c r="D186" i="243"/>
  <c r="D185" i="243"/>
  <c r="D184" i="243"/>
  <c r="D183" i="243"/>
  <c r="D182" i="243"/>
  <c r="D181" i="243"/>
  <c r="D180" i="243"/>
  <c r="D179" i="243"/>
  <c r="D178" i="243"/>
  <c r="D177" i="243"/>
  <c r="D176" i="243"/>
  <c r="D175" i="243"/>
  <c r="D174" i="243"/>
  <c r="D173" i="243"/>
  <c r="D172" i="243"/>
  <c r="D171" i="243"/>
  <c r="D169" i="243"/>
  <c r="D168" i="243"/>
  <c r="D167" i="243"/>
  <c r="D166" i="243"/>
  <c r="D165" i="243"/>
  <c r="D164" i="243"/>
  <c r="D163" i="243"/>
  <c r="D162" i="243"/>
  <c r="D161" i="243"/>
  <c r="D160" i="243"/>
  <c r="D159" i="243"/>
  <c r="D158" i="243"/>
  <c r="D157" i="243"/>
  <c r="D156" i="243"/>
  <c r="D155" i="243"/>
  <c r="D154" i="243"/>
  <c r="D153" i="243"/>
  <c r="D152" i="243"/>
  <c r="D151" i="243"/>
  <c r="D150" i="243"/>
  <c r="D148" i="243"/>
  <c r="D147" i="243"/>
  <c r="D146" i="243"/>
  <c r="D145" i="243"/>
  <c r="D144" i="243"/>
  <c r="D143" i="243"/>
  <c r="D142" i="243"/>
  <c r="D141" i="243"/>
  <c r="D140" i="243"/>
  <c r="D139" i="243"/>
  <c r="D138" i="243"/>
  <c r="D137" i="243"/>
  <c r="D136" i="243"/>
  <c r="D135" i="243"/>
  <c r="D134" i="243"/>
  <c r="D133" i="243"/>
  <c r="D132" i="243"/>
  <c r="D131" i="243"/>
  <c r="D130" i="243"/>
  <c r="D129" i="243"/>
  <c r="D127" i="243"/>
  <c r="D126" i="243"/>
  <c r="D125" i="243"/>
  <c r="D124" i="243"/>
  <c r="D123" i="243"/>
  <c r="D122" i="243"/>
  <c r="D121" i="243"/>
  <c r="D120" i="243"/>
  <c r="D119" i="243"/>
  <c r="D118" i="243"/>
  <c r="D117" i="243"/>
  <c r="D116" i="243"/>
  <c r="D115" i="243"/>
  <c r="D114" i="243"/>
  <c r="D113" i="243"/>
  <c r="D112" i="243"/>
  <c r="D111" i="243"/>
  <c r="D110" i="243"/>
  <c r="D109" i="243"/>
  <c r="D108" i="243"/>
  <c r="D106" i="243"/>
  <c r="D105" i="243"/>
  <c r="D104" i="243"/>
  <c r="D103" i="243"/>
  <c r="D102" i="243"/>
  <c r="D101" i="243"/>
  <c r="D100" i="243"/>
  <c r="D99" i="243"/>
  <c r="D98" i="243"/>
  <c r="D97" i="243"/>
  <c r="D96" i="243"/>
  <c r="D95" i="243"/>
  <c r="D94" i="243"/>
  <c r="D93" i="243"/>
  <c r="D92" i="243"/>
  <c r="D91" i="243"/>
  <c r="D90" i="243"/>
  <c r="D89" i="243"/>
  <c r="D88" i="243"/>
  <c r="D87" i="243"/>
  <c r="D85" i="243"/>
  <c r="D84" i="243"/>
  <c r="D83" i="243"/>
  <c r="D82" i="243"/>
  <c r="D81" i="243"/>
  <c r="D80" i="243"/>
  <c r="D79" i="243"/>
  <c r="D78" i="243"/>
  <c r="D77" i="243"/>
  <c r="D76" i="243"/>
  <c r="D75" i="243"/>
  <c r="D74" i="243"/>
  <c r="D73" i="243"/>
  <c r="D72" i="243"/>
  <c r="D71" i="243"/>
  <c r="D70" i="243"/>
  <c r="D69" i="243"/>
  <c r="D68" i="243"/>
  <c r="D67" i="243"/>
  <c r="D66" i="243"/>
  <c r="D64" i="243"/>
  <c r="D63" i="243"/>
  <c r="D62" i="243"/>
  <c r="D61" i="243"/>
  <c r="D60" i="243"/>
  <c r="D59" i="243"/>
  <c r="D58" i="243"/>
  <c r="D57" i="243"/>
  <c r="D56" i="243"/>
  <c r="D55" i="243"/>
  <c r="D54" i="243"/>
  <c r="D53" i="243"/>
  <c r="D52" i="243"/>
  <c r="D51" i="243"/>
  <c r="D50" i="243"/>
  <c r="D49" i="243"/>
  <c r="D48" i="243"/>
  <c r="D47" i="243"/>
  <c r="D46" i="243"/>
  <c r="D45" i="243"/>
  <c r="D43" i="243"/>
  <c r="D42" i="243"/>
  <c r="D41" i="243"/>
  <c r="D40" i="243"/>
  <c r="D39" i="243"/>
  <c r="D38" i="243"/>
  <c r="D37" i="243"/>
  <c r="D36" i="243"/>
  <c r="D35" i="243"/>
  <c r="D34" i="243"/>
  <c r="D33" i="243"/>
  <c r="D32" i="243"/>
  <c r="D31" i="243"/>
  <c r="D30" i="243"/>
  <c r="D29" i="243"/>
  <c r="D28" i="243"/>
  <c r="D27" i="243"/>
  <c r="D26" i="243"/>
  <c r="D25" i="243"/>
  <c r="D24" i="243"/>
  <c r="D22" i="243"/>
  <c r="D21" i="243"/>
  <c r="D20" i="243"/>
  <c r="D19" i="243"/>
  <c r="D18" i="243"/>
  <c r="D17" i="243"/>
  <c r="D16" i="243"/>
  <c r="D15" i="243"/>
  <c r="D14" i="243"/>
  <c r="D13" i="243"/>
  <c r="D12" i="243"/>
  <c r="D11" i="243"/>
  <c r="D10" i="243"/>
  <c r="D9" i="243"/>
  <c r="D8" i="243"/>
  <c r="D7" i="243"/>
  <c r="D6" i="243"/>
  <c r="D5" i="243"/>
  <c r="D4" i="243"/>
  <c r="D3" i="243"/>
  <c r="EZ24" i="245"/>
  <c r="EZ22" i="245"/>
  <c r="EZ20" i="245"/>
  <c r="EZ18" i="245"/>
  <c r="EZ16" i="245"/>
  <c r="EZ14" i="245"/>
  <c r="EZ12" i="245"/>
  <c r="EZ10" i="245"/>
  <c r="EZ8" i="245"/>
  <c r="EZ6" i="245"/>
  <c r="EZ5" i="245"/>
  <c r="EI24" i="245"/>
  <c r="EZ25" i="245"/>
  <c r="EZ23" i="245"/>
  <c r="EZ21" i="245"/>
  <c r="EZ19" i="245"/>
  <c r="EZ17" i="245"/>
  <c r="EZ15" i="245"/>
  <c r="EZ13" i="245"/>
  <c r="EZ11" i="245"/>
  <c r="EZ9" i="245"/>
  <c r="EZ7" i="245"/>
  <c r="EO3" i="245"/>
  <c r="EI25" i="245"/>
  <c r="EI23" i="245"/>
  <c r="FF3" i="245"/>
  <c r="EI22" i="245"/>
  <c r="EI21" i="245"/>
  <c r="EI19" i="245"/>
  <c r="EI17" i="245"/>
  <c r="EI15" i="245"/>
  <c r="EI13" i="245"/>
  <c r="EI11" i="245"/>
  <c r="EI9" i="245"/>
  <c r="EI7" i="245"/>
  <c r="EI20" i="245"/>
  <c r="EI18" i="245"/>
  <c r="EI16" i="245"/>
  <c r="EI14" i="245"/>
  <c r="EI12" i="245"/>
  <c r="EI10" i="245"/>
  <c r="EI8" i="245"/>
  <c r="EI6" i="245"/>
  <c r="DX3" i="245"/>
  <c r="DR24" i="245"/>
  <c r="DR20" i="245"/>
  <c r="DR25" i="245"/>
  <c r="DR21" i="245"/>
  <c r="DR19" i="245"/>
  <c r="DR17" i="245"/>
  <c r="DR15" i="245"/>
  <c r="DR13" i="245"/>
  <c r="DR11" i="245"/>
  <c r="DR9" i="245"/>
  <c r="DR7" i="245"/>
  <c r="DA5" i="245"/>
  <c r="CJ24" i="245"/>
  <c r="CJ22" i="245"/>
  <c r="CJ20" i="245"/>
  <c r="DR22" i="245"/>
  <c r="EI5" i="245"/>
  <c r="DR23" i="245"/>
  <c r="DR18" i="245"/>
  <c r="DR16" i="245"/>
  <c r="DR14" i="245"/>
  <c r="DR12" i="245"/>
  <c r="DR10" i="245"/>
  <c r="DR8" i="245"/>
  <c r="DR6" i="245"/>
  <c r="CJ25" i="245"/>
  <c r="CJ23" i="245"/>
  <c r="CJ21" i="245"/>
  <c r="CJ19" i="245"/>
  <c r="DA22" i="245"/>
  <c r="DA18" i="245"/>
  <c r="DA14" i="245"/>
  <c r="DA10" i="245"/>
  <c r="DA6" i="245"/>
  <c r="DR5" i="245"/>
  <c r="DA23" i="245"/>
  <c r="DA19" i="245"/>
  <c r="DA15" i="245"/>
  <c r="DA11" i="245"/>
  <c r="DA7" i="245"/>
  <c r="CJ17" i="245"/>
  <c r="CJ15" i="245"/>
  <c r="CJ13" i="245"/>
  <c r="CJ11" i="245"/>
  <c r="CJ9" i="245"/>
  <c r="CJ7" i="245"/>
  <c r="DG3" i="245"/>
  <c r="DA24" i="245"/>
  <c r="DA20" i="245"/>
  <c r="DA16" i="245"/>
  <c r="DA12" i="245"/>
  <c r="DA8" i="245"/>
  <c r="DA25" i="245"/>
  <c r="DA21" i="245"/>
  <c r="DA17" i="245"/>
  <c r="DA13" i="245"/>
  <c r="DA9" i="245"/>
  <c r="CP3" i="245"/>
  <c r="CJ18" i="245"/>
  <c r="CJ16" i="245"/>
  <c r="CJ14" i="245"/>
  <c r="CJ12" i="245"/>
  <c r="CJ10" i="245"/>
  <c r="CJ8" i="245"/>
  <c r="CJ6" i="245"/>
  <c r="CJ5" i="245"/>
  <c r="BS23" i="245"/>
  <c r="BS19" i="245"/>
  <c r="BS15" i="245"/>
  <c r="BS11" i="245"/>
  <c r="BB25" i="245"/>
  <c r="BB23" i="245"/>
  <c r="BB21" i="245"/>
  <c r="BB19" i="245"/>
  <c r="BB17" i="245"/>
  <c r="BB15" i="245"/>
  <c r="BB13" i="245"/>
  <c r="BS24" i="245"/>
  <c r="BS20" i="245"/>
  <c r="BS16" i="245"/>
  <c r="BS12" i="245"/>
  <c r="BS8" i="245"/>
  <c r="BS6" i="245"/>
  <c r="AK25" i="245"/>
  <c r="AK23" i="245"/>
  <c r="BS25" i="245"/>
  <c r="BS21" i="245"/>
  <c r="BS17" i="245"/>
  <c r="BS13" i="245"/>
  <c r="BS9" i="245"/>
  <c r="BS5" i="245"/>
  <c r="BB24" i="245"/>
  <c r="BB22" i="245"/>
  <c r="BB20" i="245"/>
  <c r="BB18" i="245"/>
  <c r="BB16" i="245"/>
  <c r="BS22" i="245"/>
  <c r="BS18" i="245"/>
  <c r="BS14" i="245"/>
  <c r="BS10" i="245"/>
  <c r="BS7" i="245"/>
  <c r="BB5" i="245"/>
  <c r="AK24" i="245"/>
  <c r="AK22" i="245"/>
  <c r="BB12" i="245"/>
  <c r="BB8" i="245"/>
  <c r="AK21" i="245"/>
  <c r="AK19" i="245"/>
  <c r="AK17" i="245"/>
  <c r="AK15" i="245"/>
  <c r="AK13" i="245"/>
  <c r="AK11" i="245"/>
  <c r="AK9" i="245"/>
  <c r="AK7" i="245"/>
  <c r="BB9" i="245"/>
  <c r="T25" i="245"/>
  <c r="T23" i="245"/>
  <c r="T21" i="245"/>
  <c r="T19" i="245"/>
  <c r="T17" i="245"/>
  <c r="BB14" i="245"/>
  <c r="BB10" i="245"/>
  <c r="BB6" i="245"/>
  <c r="AK20" i="245"/>
  <c r="AK18" i="245"/>
  <c r="AK16" i="245"/>
  <c r="AK14" i="245"/>
  <c r="AK12" i="245"/>
  <c r="AK10" i="245"/>
  <c r="AK8" i="245"/>
  <c r="AK6" i="245"/>
  <c r="C25" i="245"/>
  <c r="C23" i="245"/>
  <c r="C21" i="245"/>
  <c r="C19" i="245"/>
  <c r="BB11" i="245"/>
  <c r="BB7" i="245"/>
  <c r="AK5" i="245"/>
  <c r="T24" i="245"/>
  <c r="T22" i="245"/>
  <c r="T20" i="245"/>
  <c r="T18" i="245"/>
  <c r="T16" i="245"/>
  <c r="T14" i="245"/>
  <c r="T12" i="245"/>
  <c r="T10" i="245"/>
  <c r="T8" i="245"/>
  <c r="T6" i="245"/>
  <c r="T11" i="245"/>
  <c r="T7" i="245"/>
  <c r="C17" i="245"/>
  <c r="C15" i="245"/>
  <c r="C9" i="245"/>
  <c r="T5" i="245"/>
  <c r="C22" i="245"/>
  <c r="T13" i="245"/>
  <c r="T9" i="245"/>
  <c r="C16" i="245"/>
  <c r="C14" i="245"/>
  <c r="C12" i="245"/>
  <c r="C10" i="245"/>
  <c r="C8" i="245"/>
  <c r="C6" i="245"/>
  <c r="C11" i="245"/>
  <c r="C7" i="245"/>
  <c r="T15" i="245"/>
  <c r="C24" i="245"/>
  <c r="C20" i="245"/>
  <c r="C18" i="245"/>
  <c r="C5" i="245"/>
  <c r="C13" i="245"/>
  <c r="K13" i="245" l="1"/>
  <c r="N13" i="245"/>
  <c r="F13" i="245"/>
  <c r="M13" i="245"/>
  <c r="E13" i="245"/>
  <c r="G13" i="245"/>
  <c r="P13" i="245"/>
  <c r="L13" i="245"/>
  <c r="H13" i="245"/>
  <c r="I13" i="245" s="1"/>
  <c r="J13" i="245" s="1"/>
  <c r="D13" i="245"/>
  <c r="O13" i="245"/>
  <c r="E5" i="245"/>
  <c r="D5" i="245"/>
  <c r="M18" i="245"/>
  <c r="P18" i="245"/>
  <c r="L18" i="245"/>
  <c r="H18" i="245"/>
  <c r="I18" i="245" s="1"/>
  <c r="J18" i="245" s="1"/>
  <c r="D18" i="245"/>
  <c r="N18" i="245"/>
  <c r="G18" i="245"/>
  <c r="K18" i="245"/>
  <c r="F18" i="245"/>
  <c r="E18" i="245"/>
  <c r="O18" i="245"/>
  <c r="M20" i="245"/>
  <c r="E20" i="245"/>
  <c r="P20" i="245"/>
  <c r="L20" i="245"/>
  <c r="H20" i="245"/>
  <c r="I20" i="245" s="1"/>
  <c r="J20" i="245" s="1"/>
  <c r="D20" i="245"/>
  <c r="O20" i="245"/>
  <c r="G20" i="245"/>
  <c r="N20" i="245"/>
  <c r="F20" i="245"/>
  <c r="K20" i="245"/>
  <c r="M24" i="245"/>
  <c r="E24" i="245"/>
  <c r="P24" i="245"/>
  <c r="L24" i="245"/>
  <c r="H24" i="245"/>
  <c r="I24" i="245" s="1"/>
  <c r="J24" i="245" s="1"/>
  <c r="D24" i="245"/>
  <c r="O24" i="245"/>
  <c r="G24" i="245"/>
  <c r="N24" i="245"/>
  <c r="F24" i="245"/>
  <c r="K24" i="245"/>
  <c r="AG15" i="245"/>
  <c r="AC15" i="245"/>
  <c r="Y15" i="245"/>
  <c r="Z15" i="245" s="1"/>
  <c r="AA15" i="245" s="1"/>
  <c r="U15" i="245"/>
  <c r="AF15" i="245"/>
  <c r="AB15" i="245"/>
  <c r="X15" i="245"/>
  <c r="AE15" i="245"/>
  <c r="W15" i="245"/>
  <c r="AD15" i="245"/>
  <c r="V15" i="245"/>
  <c r="M7" i="245"/>
  <c r="E7" i="245"/>
  <c r="O7" i="245"/>
  <c r="L7" i="245"/>
  <c r="D7" i="245"/>
  <c r="K11" i="245"/>
  <c r="N11" i="245"/>
  <c r="M11" i="245"/>
  <c r="E11" i="245"/>
  <c r="O11" i="245"/>
  <c r="F11" i="245"/>
  <c r="P11" i="245"/>
  <c r="L11" i="245"/>
  <c r="H11" i="245"/>
  <c r="I11" i="245" s="1"/>
  <c r="J11" i="245" s="1"/>
  <c r="D11" i="245"/>
  <c r="G11" i="245"/>
  <c r="D6" i="245"/>
  <c r="K6" i="245"/>
  <c r="K7" i="245" s="1"/>
  <c r="K8" i="245" s="1"/>
  <c r="G6" i="245"/>
  <c r="G7" i="245" s="1"/>
  <c r="G8" i="245" s="1"/>
  <c r="E6" i="245"/>
  <c r="L6" i="245"/>
  <c r="N6" i="245" s="1"/>
  <c r="H6" i="245"/>
  <c r="I6" i="245" s="1"/>
  <c r="J6" i="245" s="1"/>
  <c r="F6" i="245"/>
  <c r="F7" i="245" s="1"/>
  <c r="F8" i="245" s="1"/>
  <c r="M6" i="245"/>
  <c r="O8" i="245"/>
  <c r="L8" i="245"/>
  <c r="N8" i="245"/>
  <c r="M8" i="245"/>
  <c r="E8" i="245"/>
  <c r="D8" i="245"/>
  <c r="E10" i="245"/>
  <c r="L10" i="245"/>
  <c r="H10" i="245"/>
  <c r="I10" i="245" s="1"/>
  <c r="J10" i="245" s="1"/>
  <c r="D10" i="245"/>
  <c r="O10" i="245"/>
  <c r="K10" i="245"/>
  <c r="G10" i="245"/>
  <c r="N10" i="245"/>
  <c r="F10" i="245"/>
  <c r="M10" i="245"/>
  <c r="P10" i="245"/>
  <c r="M12" i="245"/>
  <c r="P12" i="245"/>
  <c r="L12" i="245"/>
  <c r="H12" i="245"/>
  <c r="I12" i="245" s="1"/>
  <c r="J12" i="245" s="1"/>
  <c r="D12" i="245"/>
  <c r="O12" i="245"/>
  <c r="K12" i="245"/>
  <c r="G12" i="245"/>
  <c r="N12" i="245"/>
  <c r="F12" i="245"/>
  <c r="E12" i="245"/>
  <c r="M14" i="245"/>
  <c r="P14" i="245"/>
  <c r="L14" i="245"/>
  <c r="H14" i="245"/>
  <c r="I14" i="245" s="1"/>
  <c r="J14" i="245" s="1"/>
  <c r="D14" i="245"/>
  <c r="O14" i="245"/>
  <c r="K14" i="245"/>
  <c r="G14" i="245"/>
  <c r="E14" i="245"/>
  <c r="N14" i="245"/>
  <c r="F14" i="245"/>
  <c r="E16" i="245"/>
  <c r="P16" i="245"/>
  <c r="L16" i="245"/>
  <c r="H16" i="245"/>
  <c r="I16" i="245" s="1"/>
  <c r="J16" i="245" s="1"/>
  <c r="D16" i="245"/>
  <c r="O16" i="245"/>
  <c r="K16" i="245"/>
  <c r="G16" i="245"/>
  <c r="N16" i="245"/>
  <c r="F16" i="245"/>
  <c r="M16" i="245"/>
  <c r="AD9" i="245"/>
  <c r="V9" i="245"/>
  <c r="AC9" i="245"/>
  <c r="U9" i="245"/>
  <c r="AE13" i="245"/>
  <c r="W13" i="245"/>
  <c r="AD13" i="245"/>
  <c r="V13" i="245"/>
  <c r="AF13" i="245"/>
  <c r="X13" i="245"/>
  <c r="AC13" i="245"/>
  <c r="U13" i="245"/>
  <c r="AB13" i="245"/>
  <c r="AG13" i="245"/>
  <c r="Y13" i="245"/>
  <c r="Z13" i="245" s="1"/>
  <c r="AA13" i="245" s="1"/>
  <c r="M22" i="245"/>
  <c r="E22" i="245"/>
  <c r="P22" i="245"/>
  <c r="L22" i="245"/>
  <c r="H22" i="245"/>
  <c r="I22" i="245" s="1"/>
  <c r="J22" i="245" s="1"/>
  <c r="D22" i="245"/>
  <c r="N22" i="245"/>
  <c r="F22" i="245"/>
  <c r="K22" i="245"/>
  <c r="O22" i="245"/>
  <c r="G22" i="245"/>
  <c r="V5" i="245"/>
  <c r="U5" i="245"/>
  <c r="N9" i="245"/>
  <c r="M9" i="245"/>
  <c r="E9" i="245"/>
  <c r="G9" i="245"/>
  <c r="P9" i="245"/>
  <c r="L9" i="245"/>
  <c r="H9" i="245"/>
  <c r="I9" i="245" s="1"/>
  <c r="J9" i="245" s="1"/>
  <c r="D9" i="245"/>
  <c r="O9" i="245"/>
  <c r="K9" i="245"/>
  <c r="F9" i="245"/>
  <c r="O15" i="245"/>
  <c r="K15" i="245"/>
  <c r="G15" i="245"/>
  <c r="N15" i="245"/>
  <c r="F15" i="245"/>
  <c r="M15" i="245"/>
  <c r="E15" i="245"/>
  <c r="P15" i="245"/>
  <c r="L15" i="245"/>
  <c r="H15" i="245"/>
  <c r="I15" i="245" s="1"/>
  <c r="J15" i="245" s="1"/>
  <c r="D15" i="245"/>
  <c r="N17" i="245"/>
  <c r="P17" i="245"/>
  <c r="K17" i="245"/>
  <c r="G17" i="245"/>
  <c r="O17" i="245"/>
  <c r="F17" i="245"/>
  <c r="M17" i="245"/>
  <c r="E17" i="245"/>
  <c r="L17" i="245"/>
  <c r="H17" i="245"/>
  <c r="I17" i="245" s="1"/>
  <c r="J17" i="245" s="1"/>
  <c r="D17" i="245"/>
  <c r="AD7" i="245"/>
  <c r="V7" i="245"/>
  <c r="AC7" i="245"/>
  <c r="U7" i="245"/>
  <c r="AE11" i="245"/>
  <c r="AD11" i="245"/>
  <c r="V11" i="245"/>
  <c r="AF11" i="245"/>
  <c r="AC11" i="245"/>
  <c r="U11" i="245"/>
  <c r="AC6" i="245"/>
  <c r="AE6" i="245" s="1"/>
  <c r="Y6" i="245"/>
  <c r="Z6" i="245" s="1"/>
  <c r="AA6" i="245" s="1"/>
  <c r="U6" i="245"/>
  <c r="AB6" i="245"/>
  <c r="AB7" i="245" s="1"/>
  <c r="AB8" i="245" s="1"/>
  <c r="AB9" i="245" s="1"/>
  <c r="AB10" i="245" s="1"/>
  <c r="AB11" i="245" s="1"/>
  <c r="X6" i="245"/>
  <c r="X7" i="245" s="1"/>
  <c r="X8" i="245" s="1"/>
  <c r="X9" i="245" s="1"/>
  <c r="X10" i="245" s="1"/>
  <c r="X11" i="245" s="1"/>
  <c r="W6" i="245"/>
  <c r="W7" i="245" s="1"/>
  <c r="W8" i="245" s="1"/>
  <c r="W9" i="245" s="1"/>
  <c r="W10" i="245" s="1"/>
  <c r="W11" i="245" s="1"/>
  <c r="AD6" i="245"/>
  <c r="V6" i="245"/>
  <c r="AC8" i="245"/>
  <c r="U8" i="245"/>
  <c r="AD8" i="245"/>
  <c r="V8" i="245"/>
  <c r="AC10" i="245"/>
  <c r="U10" i="245"/>
  <c r="AF10" i="245"/>
  <c r="AD10" i="245"/>
  <c r="V10" i="245"/>
  <c r="AG12" i="245"/>
  <c r="AC12" i="245"/>
  <c r="Y12" i="245"/>
  <c r="Z12" i="245" s="1"/>
  <c r="AA12" i="245" s="1"/>
  <c r="U12" i="245"/>
  <c r="AF12" i="245"/>
  <c r="AB12" i="245"/>
  <c r="X12" i="245"/>
  <c r="AD12" i="245"/>
  <c r="V12" i="245"/>
  <c r="AE12" i="245"/>
  <c r="W12" i="245"/>
  <c r="AE14" i="245"/>
  <c r="W14" i="245"/>
  <c r="AG14" i="245"/>
  <c r="AC14" i="245"/>
  <c r="Y14" i="245"/>
  <c r="Z14" i="245" s="1"/>
  <c r="AA14" i="245" s="1"/>
  <c r="U14" i="245"/>
  <c r="AF14" i="245"/>
  <c r="AB14" i="245"/>
  <c r="X14" i="245"/>
  <c r="AD14" i="245"/>
  <c r="V14" i="245"/>
  <c r="AE16" i="245"/>
  <c r="W16" i="245"/>
  <c r="AD16" i="245"/>
  <c r="V16" i="245"/>
  <c r="AG16" i="245"/>
  <c r="AC16" i="245"/>
  <c r="Y16" i="245"/>
  <c r="Z16" i="245" s="1"/>
  <c r="AA16" i="245" s="1"/>
  <c r="U16" i="245"/>
  <c r="AF16" i="245"/>
  <c r="AB16" i="245"/>
  <c r="X16" i="245"/>
  <c r="AE18" i="245"/>
  <c r="W18" i="245"/>
  <c r="AD18" i="245"/>
  <c r="V18" i="245"/>
  <c r="AG18" i="245"/>
  <c r="AC18" i="245"/>
  <c r="Y18" i="245"/>
  <c r="Z18" i="245" s="1"/>
  <c r="AA18" i="245" s="1"/>
  <c r="U18" i="245"/>
  <c r="AF18" i="245"/>
  <c r="AB18" i="245"/>
  <c r="X18" i="245"/>
  <c r="AE20" i="245"/>
  <c r="W20" i="245"/>
  <c r="AD20" i="245"/>
  <c r="V20" i="245"/>
  <c r="AG20" i="245"/>
  <c r="AC20" i="245"/>
  <c r="Y20" i="245"/>
  <c r="Z20" i="245" s="1"/>
  <c r="AA20" i="245" s="1"/>
  <c r="U20" i="245"/>
  <c r="AF20" i="245"/>
  <c r="AB20" i="245"/>
  <c r="X20" i="245"/>
  <c r="AE22" i="245"/>
  <c r="W22" i="245"/>
  <c r="AD22" i="245"/>
  <c r="V22" i="245"/>
  <c r="AG22" i="245"/>
  <c r="AC22" i="245"/>
  <c r="Y22" i="245"/>
  <c r="Z22" i="245" s="1"/>
  <c r="AA22" i="245" s="1"/>
  <c r="U22" i="245"/>
  <c r="AF22" i="245"/>
  <c r="AB22" i="245"/>
  <c r="X22" i="245"/>
  <c r="AE24" i="245"/>
  <c r="W24" i="245"/>
  <c r="AD24" i="245"/>
  <c r="V24" i="245"/>
  <c r="AG24" i="245"/>
  <c r="AC24" i="245"/>
  <c r="Y24" i="245"/>
  <c r="Z24" i="245" s="1"/>
  <c r="AA24" i="245" s="1"/>
  <c r="U24" i="245"/>
  <c r="AF24" i="245"/>
  <c r="AB24" i="245"/>
  <c r="X24" i="245"/>
  <c r="AM5" i="245"/>
  <c r="AL5" i="245"/>
  <c r="BK7" i="245"/>
  <c r="BC7" i="245"/>
  <c r="BL7" i="245"/>
  <c r="BD7" i="245"/>
  <c r="BM11" i="245"/>
  <c r="BE11" i="245"/>
  <c r="BO11" i="245"/>
  <c r="BK11" i="245"/>
  <c r="BG11" i="245"/>
  <c r="BH11" i="245" s="1"/>
  <c r="BI11" i="245" s="1"/>
  <c r="BC11" i="245"/>
  <c r="BN11" i="245"/>
  <c r="BF11" i="245"/>
  <c r="BL11" i="245"/>
  <c r="BD11" i="245"/>
  <c r="BJ11" i="245"/>
  <c r="O19" i="245"/>
  <c r="K19" i="245"/>
  <c r="G19" i="245"/>
  <c r="N19" i="245"/>
  <c r="F19" i="245"/>
  <c r="P19" i="245"/>
  <c r="H19" i="245"/>
  <c r="I19" i="245" s="1"/>
  <c r="J19" i="245" s="1"/>
  <c r="M19" i="245"/>
  <c r="E19" i="245"/>
  <c r="L19" i="245"/>
  <c r="D19" i="245"/>
  <c r="O21" i="245"/>
  <c r="K21" i="245"/>
  <c r="G21" i="245"/>
  <c r="N21" i="245"/>
  <c r="F21" i="245"/>
  <c r="L21" i="245"/>
  <c r="D21" i="245"/>
  <c r="P21" i="245"/>
  <c r="H21" i="245"/>
  <c r="I21" i="245" s="1"/>
  <c r="J21" i="245" s="1"/>
  <c r="M21" i="245"/>
  <c r="E21" i="245"/>
  <c r="O23" i="245"/>
  <c r="K23" i="245"/>
  <c r="G23" i="245"/>
  <c r="N23" i="245"/>
  <c r="F23" i="245"/>
  <c r="P23" i="245"/>
  <c r="H23" i="245"/>
  <c r="I23" i="245" s="1"/>
  <c r="J23" i="245" s="1"/>
  <c r="M23" i="245"/>
  <c r="E23" i="245"/>
  <c r="L23" i="245"/>
  <c r="D23" i="245"/>
  <c r="O25" i="245"/>
  <c r="K25" i="245"/>
  <c r="G25" i="245"/>
  <c r="N25" i="245"/>
  <c r="F25" i="245"/>
  <c r="L25" i="245"/>
  <c r="D25" i="245"/>
  <c r="P25" i="245"/>
  <c r="H25" i="245"/>
  <c r="I25" i="245" s="1"/>
  <c r="J25" i="245" s="1"/>
  <c r="M25" i="245"/>
  <c r="E25" i="245"/>
  <c r="AU6" i="245"/>
  <c r="AM6" i="245"/>
  <c r="AT6" i="245"/>
  <c r="AV6" i="245" s="1"/>
  <c r="AP6" i="245"/>
  <c r="AQ6" i="245" s="1"/>
  <c r="AR6" i="245" s="1"/>
  <c r="AL6" i="245"/>
  <c r="AS6" i="245"/>
  <c r="AS7" i="245" s="1"/>
  <c r="AS8" i="245" s="1"/>
  <c r="AS9" i="245" s="1"/>
  <c r="AS10" i="245" s="1"/>
  <c r="AS11" i="245" s="1"/>
  <c r="AO6" i="245"/>
  <c r="AO7" i="245" s="1"/>
  <c r="AO8" i="245" s="1"/>
  <c r="AO9" i="245" s="1"/>
  <c r="AO10" i="245" s="1"/>
  <c r="AO11" i="245" s="1"/>
  <c r="AN6" i="245"/>
  <c r="AN7" i="245" s="1"/>
  <c r="AN8" i="245" s="1"/>
  <c r="AN9" i="245" s="1"/>
  <c r="AN10" i="245" s="1"/>
  <c r="AN11" i="245" s="1"/>
  <c r="AU8" i="245"/>
  <c r="AM8" i="245"/>
  <c r="AT8" i="245"/>
  <c r="AL8" i="245"/>
  <c r="AU10" i="245"/>
  <c r="AM10" i="245"/>
  <c r="AT10" i="245"/>
  <c r="AL10" i="245"/>
  <c r="AW10" i="245"/>
  <c r="AW9" i="245" s="1"/>
  <c r="AU12" i="245"/>
  <c r="AM12" i="245"/>
  <c r="AX12" i="245"/>
  <c r="AT12" i="245"/>
  <c r="AP12" i="245"/>
  <c r="AQ12" i="245" s="1"/>
  <c r="AR12" i="245" s="1"/>
  <c r="AL12" i="245"/>
  <c r="AW12" i="245"/>
  <c r="AS12" i="245"/>
  <c r="AO12" i="245"/>
  <c r="AV12" i="245"/>
  <c r="AN12" i="245"/>
  <c r="AU14" i="245"/>
  <c r="AM14" i="245"/>
  <c r="AX14" i="245"/>
  <c r="AT14" i="245"/>
  <c r="AP14" i="245"/>
  <c r="AQ14" i="245" s="1"/>
  <c r="AR14" i="245" s="1"/>
  <c r="AL14" i="245"/>
  <c r="AW14" i="245"/>
  <c r="AS14" i="245"/>
  <c r="AO14" i="245"/>
  <c r="AV14" i="245"/>
  <c r="AN14" i="245"/>
  <c r="AU16" i="245"/>
  <c r="AM16" i="245"/>
  <c r="AX16" i="245"/>
  <c r="AT16" i="245"/>
  <c r="AP16" i="245"/>
  <c r="AQ16" i="245" s="1"/>
  <c r="AR16" i="245" s="1"/>
  <c r="AL16" i="245"/>
  <c r="AW16" i="245"/>
  <c r="AS16" i="245"/>
  <c r="AO16" i="245"/>
  <c r="AV16" i="245"/>
  <c r="AN16" i="245"/>
  <c r="AU18" i="245"/>
  <c r="AM18" i="245"/>
  <c r="AX18" i="245"/>
  <c r="AT18" i="245"/>
  <c r="AP18" i="245"/>
  <c r="AQ18" i="245" s="1"/>
  <c r="AR18" i="245" s="1"/>
  <c r="AL18" i="245"/>
  <c r="AW18" i="245"/>
  <c r="AS18" i="245"/>
  <c r="AO18" i="245"/>
  <c r="AV18" i="245"/>
  <c r="AN18" i="245"/>
  <c r="AU20" i="245"/>
  <c r="AM20" i="245"/>
  <c r="AX20" i="245"/>
  <c r="AT20" i="245"/>
  <c r="AP20" i="245"/>
  <c r="AQ20" i="245" s="1"/>
  <c r="AR20" i="245" s="1"/>
  <c r="AL20" i="245"/>
  <c r="AW20" i="245"/>
  <c r="AS20" i="245"/>
  <c r="AO20" i="245"/>
  <c r="AV20" i="245"/>
  <c r="AN20" i="245"/>
  <c r="BK6" i="245"/>
  <c r="BM6" i="245" s="1"/>
  <c r="BG6" i="245"/>
  <c r="BH6" i="245" s="1"/>
  <c r="BI6" i="245" s="1"/>
  <c r="BC6" i="245"/>
  <c r="BE6" i="245"/>
  <c r="BE7" i="245" s="1"/>
  <c r="BE8" i="245" s="1"/>
  <c r="BE9" i="245" s="1"/>
  <c r="BF6" i="245"/>
  <c r="BF7" i="245" s="1"/>
  <c r="BF8" i="245" s="1"/>
  <c r="BF9" i="245" s="1"/>
  <c r="BL6" i="245"/>
  <c r="BD6" i="245"/>
  <c r="BJ6" i="245"/>
  <c r="BJ7" i="245" s="1"/>
  <c r="BJ8" i="245" s="1"/>
  <c r="BJ9" i="245" s="1"/>
  <c r="BO10" i="245"/>
  <c r="BK10" i="245"/>
  <c r="BG10" i="245"/>
  <c r="BH10" i="245" s="1"/>
  <c r="BI10" i="245" s="1"/>
  <c r="BC10" i="245"/>
  <c r="BM10" i="245"/>
  <c r="BE10" i="245"/>
  <c r="BN10" i="245"/>
  <c r="BF10" i="245"/>
  <c r="BL10" i="245"/>
  <c r="BD10" i="245"/>
  <c r="BJ10" i="245"/>
  <c r="BL14" i="245"/>
  <c r="BD14" i="245"/>
  <c r="BO14" i="245"/>
  <c r="BK14" i="245"/>
  <c r="BG14" i="245"/>
  <c r="BH14" i="245" s="1"/>
  <c r="BI14" i="245" s="1"/>
  <c r="BC14" i="245"/>
  <c r="BN14" i="245"/>
  <c r="BJ14" i="245"/>
  <c r="BM14" i="245"/>
  <c r="BE14" i="245"/>
  <c r="BF14" i="245"/>
  <c r="AG17" i="245"/>
  <c r="AC17" i="245"/>
  <c r="Y17" i="245"/>
  <c r="Z17" i="245" s="1"/>
  <c r="AA17" i="245" s="1"/>
  <c r="U17" i="245"/>
  <c r="AF17" i="245"/>
  <c r="AB17" i="245"/>
  <c r="X17" i="245"/>
  <c r="AE17" i="245"/>
  <c r="W17" i="245"/>
  <c r="AD17" i="245"/>
  <c r="V17" i="245"/>
  <c r="AG19" i="245"/>
  <c r="AC19" i="245"/>
  <c r="Y19" i="245"/>
  <c r="Z19" i="245" s="1"/>
  <c r="AA19" i="245" s="1"/>
  <c r="U19" i="245"/>
  <c r="AF19" i="245"/>
  <c r="AB19" i="245"/>
  <c r="X19" i="245"/>
  <c r="AE19" i="245"/>
  <c r="W19" i="245"/>
  <c r="AD19" i="245"/>
  <c r="V19" i="245"/>
  <c r="AG21" i="245"/>
  <c r="AC21" i="245"/>
  <c r="Y21" i="245"/>
  <c r="Z21" i="245" s="1"/>
  <c r="AA21" i="245" s="1"/>
  <c r="U21" i="245"/>
  <c r="AF21" i="245"/>
  <c r="AB21" i="245"/>
  <c r="X21" i="245"/>
  <c r="AE21" i="245"/>
  <c r="W21" i="245"/>
  <c r="AD21" i="245"/>
  <c r="V21" i="245"/>
  <c r="AG23" i="245"/>
  <c r="AC23" i="245"/>
  <c r="Y23" i="245"/>
  <c r="Z23" i="245" s="1"/>
  <c r="AA23" i="245" s="1"/>
  <c r="U23" i="245"/>
  <c r="AF23" i="245"/>
  <c r="AB23" i="245"/>
  <c r="X23" i="245"/>
  <c r="AE23" i="245"/>
  <c r="W23" i="245"/>
  <c r="AD23" i="245"/>
  <c r="V23" i="245"/>
  <c r="AG25" i="245"/>
  <c r="AC25" i="245"/>
  <c r="Y25" i="245"/>
  <c r="Z25" i="245" s="1"/>
  <c r="AA25" i="245" s="1"/>
  <c r="U25" i="245"/>
  <c r="AF25" i="245"/>
  <c r="AB25" i="245"/>
  <c r="X25" i="245"/>
  <c r="AE25" i="245"/>
  <c r="W25" i="245"/>
  <c r="AD25" i="245"/>
  <c r="V25" i="245"/>
  <c r="BM9" i="245"/>
  <c r="BK9" i="245"/>
  <c r="BC9" i="245"/>
  <c r="BL9" i="245"/>
  <c r="BD9" i="245"/>
  <c r="BN9" i="245"/>
  <c r="AU7" i="245"/>
  <c r="AM7" i="245"/>
  <c r="AT7" i="245"/>
  <c r="AL7" i="245"/>
  <c r="AU9" i="245"/>
  <c r="AM9" i="245"/>
  <c r="AT9" i="245"/>
  <c r="AL9" i="245"/>
  <c r="AW11" i="245"/>
  <c r="AV11" i="245"/>
  <c r="AU11" i="245"/>
  <c r="AM11" i="245"/>
  <c r="AT11" i="245"/>
  <c r="AL11" i="245"/>
  <c r="AW13" i="245"/>
  <c r="AS13" i="245"/>
  <c r="AO13" i="245"/>
  <c r="AV13" i="245"/>
  <c r="AN13" i="245"/>
  <c r="AU13" i="245"/>
  <c r="AM13" i="245"/>
  <c r="AX13" i="245"/>
  <c r="AT13" i="245"/>
  <c r="AP13" i="245"/>
  <c r="AQ13" i="245" s="1"/>
  <c r="AR13" i="245" s="1"/>
  <c r="AL13" i="245"/>
  <c r="AW15" i="245"/>
  <c r="AS15" i="245"/>
  <c r="AO15" i="245"/>
  <c r="AV15" i="245"/>
  <c r="AN15" i="245"/>
  <c r="AU15" i="245"/>
  <c r="AM15" i="245"/>
  <c r="AX15" i="245"/>
  <c r="AT15" i="245"/>
  <c r="AP15" i="245"/>
  <c r="AQ15" i="245" s="1"/>
  <c r="AR15" i="245" s="1"/>
  <c r="AL15" i="245"/>
  <c r="AW17" i="245"/>
  <c r="AS17" i="245"/>
  <c r="AO17" i="245"/>
  <c r="AV17" i="245"/>
  <c r="AN17" i="245"/>
  <c r="AU17" i="245"/>
  <c r="AM17" i="245"/>
  <c r="AX17" i="245"/>
  <c r="AT17" i="245"/>
  <c r="AP17" i="245"/>
  <c r="AQ17" i="245" s="1"/>
  <c r="AR17" i="245" s="1"/>
  <c r="AL17" i="245"/>
  <c r="AW19" i="245"/>
  <c r="AS19" i="245"/>
  <c r="AO19" i="245"/>
  <c r="AV19" i="245"/>
  <c r="AN19" i="245"/>
  <c r="AU19" i="245"/>
  <c r="AM19" i="245"/>
  <c r="AX19" i="245"/>
  <c r="AT19" i="245"/>
  <c r="AP19" i="245"/>
  <c r="AQ19" i="245" s="1"/>
  <c r="AR19" i="245" s="1"/>
  <c r="AL19" i="245"/>
  <c r="AW21" i="245"/>
  <c r="AS21" i="245"/>
  <c r="AT21" i="245"/>
  <c r="AO21" i="245"/>
  <c r="AX21" i="245"/>
  <c r="AN21" i="245"/>
  <c r="AV21" i="245"/>
  <c r="AM21" i="245"/>
  <c r="AU21" i="245"/>
  <c r="AP21" i="245"/>
  <c r="AQ21" i="245" s="1"/>
  <c r="AR21" i="245" s="1"/>
  <c r="AL21" i="245"/>
  <c r="BK8" i="245"/>
  <c r="BC8" i="245"/>
  <c r="BN8" i="245"/>
  <c r="BL8" i="245"/>
  <c r="BD8" i="245"/>
  <c r="BO12" i="245"/>
  <c r="BK12" i="245"/>
  <c r="BG12" i="245"/>
  <c r="BH12" i="245" s="1"/>
  <c r="BI12" i="245" s="1"/>
  <c r="BC12" i="245"/>
  <c r="BM12" i="245"/>
  <c r="BE12" i="245"/>
  <c r="BJ12" i="245"/>
  <c r="BN12" i="245"/>
  <c r="BF12" i="245"/>
  <c r="BL12" i="245"/>
  <c r="BD12" i="245"/>
  <c r="AU22" i="245"/>
  <c r="AM22" i="245"/>
  <c r="AW22" i="245"/>
  <c r="AS22" i="245"/>
  <c r="AO22" i="245"/>
  <c r="AT22" i="245"/>
  <c r="AL22" i="245"/>
  <c r="AX22" i="245"/>
  <c r="AP22" i="245"/>
  <c r="AQ22" i="245" s="1"/>
  <c r="AR22" i="245" s="1"/>
  <c r="AV22" i="245"/>
  <c r="AN22" i="245"/>
  <c r="AU24" i="245"/>
  <c r="AM24" i="245"/>
  <c r="AW24" i="245"/>
  <c r="AS24" i="245"/>
  <c r="AO24" i="245"/>
  <c r="AX24" i="245"/>
  <c r="AP24" i="245"/>
  <c r="AQ24" i="245" s="1"/>
  <c r="AR24" i="245" s="1"/>
  <c r="AV24" i="245"/>
  <c r="AN24" i="245"/>
  <c r="AT24" i="245"/>
  <c r="AL24" i="245"/>
  <c r="BD5" i="245"/>
  <c r="BC5" i="245"/>
  <c r="CB7" i="245"/>
  <c r="BU7" i="245"/>
  <c r="BT7" i="245"/>
  <c r="CC7" i="245"/>
  <c r="CD10" i="245"/>
  <c r="CB10" i="245"/>
  <c r="BT10" i="245"/>
  <c r="CE10" i="245"/>
  <c r="CC10" i="245"/>
  <c r="BU10" i="245"/>
  <c r="CD14" i="245"/>
  <c r="BV14" i="245"/>
  <c r="CF14" i="245"/>
  <c r="CB14" i="245"/>
  <c r="BX14" i="245"/>
  <c r="BT14" i="245"/>
  <c r="CE14" i="245"/>
  <c r="BW14" i="245"/>
  <c r="CC14" i="245"/>
  <c r="BU14" i="245"/>
  <c r="CA14" i="245"/>
  <c r="CD18" i="245"/>
  <c r="BV18" i="245"/>
  <c r="CF18" i="245"/>
  <c r="CB18" i="245"/>
  <c r="BX18" i="245"/>
  <c r="BY18" i="245" s="1"/>
  <c r="BZ18" i="245" s="1"/>
  <c r="BT18" i="245"/>
  <c r="CE18" i="245"/>
  <c r="BW18" i="245"/>
  <c r="CC18" i="245"/>
  <c r="BU18" i="245"/>
  <c r="CA18" i="245"/>
  <c r="CD22" i="245"/>
  <c r="BV22" i="245"/>
  <c r="CF22" i="245"/>
  <c r="CB22" i="245"/>
  <c r="BX22" i="245"/>
  <c r="BY22" i="245" s="1"/>
  <c r="BZ22" i="245" s="1"/>
  <c r="BT22" i="245"/>
  <c r="CE22" i="245"/>
  <c r="BW22" i="245"/>
  <c r="CC22" i="245"/>
  <c r="BU22" i="245"/>
  <c r="CA22" i="245"/>
  <c r="BL16" i="245"/>
  <c r="BD16" i="245"/>
  <c r="BO16" i="245"/>
  <c r="BK16" i="245"/>
  <c r="BG16" i="245"/>
  <c r="BH16" i="245" s="1"/>
  <c r="BI16" i="245" s="1"/>
  <c r="BC16" i="245"/>
  <c r="BN16" i="245"/>
  <c r="BJ16" i="245"/>
  <c r="BF16" i="245"/>
  <c r="BM16" i="245"/>
  <c r="BE16" i="245"/>
  <c r="BL18" i="245"/>
  <c r="BD18" i="245"/>
  <c r="BO18" i="245"/>
  <c r="BK18" i="245"/>
  <c r="BG18" i="245"/>
  <c r="BH18" i="245" s="1"/>
  <c r="BI18" i="245" s="1"/>
  <c r="BC18" i="245"/>
  <c r="BN18" i="245"/>
  <c r="BJ18" i="245"/>
  <c r="BF18" i="245"/>
  <c r="BM18" i="245"/>
  <c r="BE18" i="245"/>
  <c r="BL20" i="245"/>
  <c r="BD20" i="245"/>
  <c r="BO20" i="245"/>
  <c r="BK20" i="245"/>
  <c r="BG20" i="245"/>
  <c r="BH20" i="245" s="1"/>
  <c r="BI20" i="245" s="1"/>
  <c r="BC20" i="245"/>
  <c r="BN20" i="245"/>
  <c r="BJ20" i="245"/>
  <c r="BF20" i="245"/>
  <c r="BM20" i="245"/>
  <c r="BE20" i="245"/>
  <c r="BL22" i="245"/>
  <c r="BD22" i="245"/>
  <c r="BO22" i="245"/>
  <c r="BK22" i="245"/>
  <c r="BG22" i="245"/>
  <c r="BH22" i="245" s="1"/>
  <c r="BI22" i="245" s="1"/>
  <c r="BC22" i="245"/>
  <c r="BN22" i="245"/>
  <c r="BJ22" i="245"/>
  <c r="BF22" i="245"/>
  <c r="BM22" i="245"/>
  <c r="BE22" i="245"/>
  <c r="BL24" i="245"/>
  <c r="BD24" i="245"/>
  <c r="BO24" i="245"/>
  <c r="BK24" i="245"/>
  <c r="BG24" i="245"/>
  <c r="BH24" i="245" s="1"/>
  <c r="BI24" i="245" s="1"/>
  <c r="BC24" i="245"/>
  <c r="BN24" i="245"/>
  <c r="BJ24" i="245"/>
  <c r="BF24" i="245"/>
  <c r="BM24" i="245"/>
  <c r="BE24" i="245"/>
  <c r="BY14" i="245"/>
  <c r="BZ14" i="245" s="1"/>
  <c r="BU5" i="245"/>
  <c r="BT5" i="245"/>
  <c r="CB9" i="245"/>
  <c r="BT9" i="245"/>
  <c r="CE9" i="245"/>
  <c r="CC9" i="245"/>
  <c r="BU9" i="245"/>
  <c r="CF13" i="245"/>
  <c r="CB13" i="245"/>
  <c r="BX13" i="245"/>
  <c r="BY13" i="245" s="1"/>
  <c r="BZ13" i="245" s="1"/>
  <c r="BT13" i="245"/>
  <c r="CD13" i="245"/>
  <c r="BV13" i="245"/>
  <c r="CE13" i="245"/>
  <c r="BW13" i="245"/>
  <c r="CC13" i="245"/>
  <c r="BU13" i="245"/>
  <c r="CA13" i="245"/>
  <c r="CF17" i="245"/>
  <c r="CB17" i="245"/>
  <c r="BX17" i="245"/>
  <c r="BY17" i="245" s="1"/>
  <c r="BZ17" i="245" s="1"/>
  <c r="BT17" i="245"/>
  <c r="CD17" i="245"/>
  <c r="BV17" i="245"/>
  <c r="CE17" i="245"/>
  <c r="BW17" i="245"/>
  <c r="CC17" i="245"/>
  <c r="BU17" i="245"/>
  <c r="CA17" i="245"/>
  <c r="CF21" i="245"/>
  <c r="CB21" i="245"/>
  <c r="BX21" i="245"/>
  <c r="BY21" i="245" s="1"/>
  <c r="BZ21" i="245" s="1"/>
  <c r="BT21" i="245"/>
  <c r="CD21" i="245"/>
  <c r="BV21" i="245"/>
  <c r="CE21" i="245"/>
  <c r="BW21" i="245"/>
  <c r="CC21" i="245"/>
  <c r="BU21" i="245"/>
  <c r="CA21" i="245"/>
  <c r="CF25" i="245"/>
  <c r="CB25" i="245"/>
  <c r="BX25" i="245"/>
  <c r="BY25" i="245" s="1"/>
  <c r="BZ25" i="245" s="1"/>
  <c r="BT25" i="245"/>
  <c r="CD25" i="245"/>
  <c r="BV25" i="245"/>
  <c r="CE25" i="245"/>
  <c r="BW25" i="245"/>
  <c r="CC25" i="245"/>
  <c r="BU25" i="245"/>
  <c r="CA25" i="245"/>
  <c r="AW23" i="245"/>
  <c r="AS23" i="245"/>
  <c r="AO23" i="245"/>
  <c r="AU23" i="245"/>
  <c r="AM23" i="245"/>
  <c r="AV23" i="245"/>
  <c r="AN23" i="245"/>
  <c r="AT23" i="245"/>
  <c r="AL23" i="245"/>
  <c r="AX23" i="245"/>
  <c r="AP23" i="245"/>
  <c r="AQ23" i="245" s="1"/>
  <c r="AR23" i="245" s="1"/>
  <c r="AW25" i="245"/>
  <c r="AS25" i="245"/>
  <c r="AO25" i="245"/>
  <c r="AU25" i="245"/>
  <c r="AM25" i="245"/>
  <c r="AX25" i="245"/>
  <c r="AP25" i="245"/>
  <c r="AQ25" i="245" s="1"/>
  <c r="AR25" i="245" s="1"/>
  <c r="AV25" i="245"/>
  <c r="AN25" i="245"/>
  <c r="AT25" i="245"/>
  <c r="AL25" i="245"/>
  <c r="CB6" i="245"/>
  <c r="CD6" i="245" s="1"/>
  <c r="BX6" i="245"/>
  <c r="BY6" i="245" s="1"/>
  <c r="BZ6" i="245" s="1"/>
  <c r="BT6" i="245"/>
  <c r="CA6" i="245"/>
  <c r="CA7" i="245" s="1"/>
  <c r="CA8" i="245" s="1"/>
  <c r="CA9" i="245" s="1"/>
  <c r="CA10" i="245" s="1"/>
  <c r="BW6" i="245"/>
  <c r="BW7" i="245" s="1"/>
  <c r="BW8" i="245" s="1"/>
  <c r="BW9" i="245" s="1"/>
  <c r="BW10" i="245" s="1"/>
  <c r="BV6" i="245"/>
  <c r="BV7" i="245" s="1"/>
  <c r="BV8" i="245" s="1"/>
  <c r="BV9" i="245" s="1"/>
  <c r="BV10" i="245" s="1"/>
  <c r="CC6" i="245"/>
  <c r="BU6" i="245"/>
  <c r="CB8" i="245"/>
  <c r="BT8" i="245"/>
  <c r="CC8" i="245"/>
  <c r="BU8" i="245"/>
  <c r="CD12" i="245"/>
  <c r="BV12" i="245"/>
  <c r="CF12" i="245"/>
  <c r="CB12" i="245"/>
  <c r="BX12" i="245"/>
  <c r="BY12" i="245" s="1"/>
  <c r="BZ12" i="245" s="1"/>
  <c r="BT12" i="245"/>
  <c r="CC12" i="245"/>
  <c r="BU12" i="245"/>
  <c r="CA12" i="245"/>
  <c r="CE12" i="245"/>
  <c r="BW12" i="245"/>
  <c r="CD16" i="245"/>
  <c r="BV16" i="245"/>
  <c r="CF16" i="245"/>
  <c r="CB16" i="245"/>
  <c r="BX16" i="245"/>
  <c r="BY16" i="245" s="1"/>
  <c r="BZ16" i="245" s="1"/>
  <c r="BT16" i="245"/>
  <c r="CC16" i="245"/>
  <c r="BU16" i="245"/>
  <c r="CA16" i="245"/>
  <c r="CE16" i="245"/>
  <c r="BW16" i="245"/>
  <c r="CD20" i="245"/>
  <c r="BV20" i="245"/>
  <c r="CF20" i="245"/>
  <c r="CB20" i="245"/>
  <c r="BX20" i="245"/>
  <c r="BY20" i="245" s="1"/>
  <c r="BZ20" i="245" s="1"/>
  <c r="BT20" i="245"/>
  <c r="CC20" i="245"/>
  <c r="BU20" i="245"/>
  <c r="CA20" i="245"/>
  <c r="CE20" i="245"/>
  <c r="BW20" i="245"/>
  <c r="CD24" i="245"/>
  <c r="BV24" i="245"/>
  <c r="CF24" i="245"/>
  <c r="CB24" i="245"/>
  <c r="BX24" i="245"/>
  <c r="BY24" i="245" s="1"/>
  <c r="BZ24" i="245" s="1"/>
  <c r="BT24" i="245"/>
  <c r="CC24" i="245"/>
  <c r="BU24" i="245"/>
  <c r="CA24" i="245"/>
  <c r="CE24" i="245"/>
  <c r="BW24" i="245"/>
  <c r="BN13" i="245"/>
  <c r="BJ13" i="245"/>
  <c r="BF13" i="245"/>
  <c r="BM13" i="245"/>
  <c r="BE13" i="245"/>
  <c r="BO13" i="245"/>
  <c r="BK13" i="245"/>
  <c r="BG13" i="245"/>
  <c r="BH13" i="245" s="1"/>
  <c r="BI13" i="245" s="1"/>
  <c r="BC13" i="245"/>
  <c r="BD13" i="245"/>
  <c r="BL13" i="245"/>
  <c r="BN15" i="245"/>
  <c r="BJ15" i="245"/>
  <c r="BF15" i="245"/>
  <c r="BM15" i="245"/>
  <c r="BE15" i="245"/>
  <c r="BL15" i="245"/>
  <c r="BD15" i="245"/>
  <c r="BO15" i="245"/>
  <c r="BK15" i="245"/>
  <c r="BG15" i="245"/>
  <c r="BH15" i="245" s="1"/>
  <c r="BI15" i="245" s="1"/>
  <c r="BC15" i="245"/>
  <c r="BN17" i="245"/>
  <c r="BJ17" i="245"/>
  <c r="BF17" i="245"/>
  <c r="BM17" i="245"/>
  <c r="BE17" i="245"/>
  <c r="BL17" i="245"/>
  <c r="BD17" i="245"/>
  <c r="BO17" i="245"/>
  <c r="BK17" i="245"/>
  <c r="BG17" i="245"/>
  <c r="BH17" i="245" s="1"/>
  <c r="BI17" i="245" s="1"/>
  <c r="BC17" i="245"/>
  <c r="BN19" i="245"/>
  <c r="BJ19" i="245"/>
  <c r="BF19" i="245"/>
  <c r="BM19" i="245"/>
  <c r="BE19" i="245"/>
  <c r="BL19" i="245"/>
  <c r="BD19" i="245"/>
  <c r="BO19" i="245"/>
  <c r="BK19" i="245"/>
  <c r="BG19" i="245"/>
  <c r="BH19" i="245" s="1"/>
  <c r="BI19" i="245" s="1"/>
  <c r="BC19" i="245"/>
  <c r="BN21" i="245"/>
  <c r="BJ21" i="245"/>
  <c r="BF21" i="245"/>
  <c r="BM21" i="245"/>
  <c r="BE21" i="245"/>
  <c r="BL21" i="245"/>
  <c r="BD21" i="245"/>
  <c r="BO21" i="245"/>
  <c r="BK21" i="245"/>
  <c r="BG21" i="245"/>
  <c r="BH21" i="245" s="1"/>
  <c r="BI21" i="245" s="1"/>
  <c r="BC21" i="245"/>
  <c r="BN23" i="245"/>
  <c r="BJ23" i="245"/>
  <c r="BF23" i="245"/>
  <c r="BM23" i="245"/>
  <c r="BE23" i="245"/>
  <c r="BL23" i="245"/>
  <c r="BD23" i="245"/>
  <c r="BO23" i="245"/>
  <c r="BK23" i="245"/>
  <c r="BG23" i="245"/>
  <c r="BH23" i="245" s="1"/>
  <c r="BI23" i="245" s="1"/>
  <c r="BC23" i="245"/>
  <c r="BN25" i="245"/>
  <c r="BJ25" i="245"/>
  <c r="BF25" i="245"/>
  <c r="BM25" i="245"/>
  <c r="BE25" i="245"/>
  <c r="BL25" i="245"/>
  <c r="BD25" i="245"/>
  <c r="BO25" i="245"/>
  <c r="BK25" i="245"/>
  <c r="BG25" i="245"/>
  <c r="BH25" i="245" s="1"/>
  <c r="BI25" i="245" s="1"/>
  <c r="BC25" i="245"/>
  <c r="CF11" i="245"/>
  <c r="CB11" i="245"/>
  <c r="BX11" i="245"/>
  <c r="BY11" i="245" s="1"/>
  <c r="BZ11" i="245" s="1"/>
  <c r="BT11" i="245"/>
  <c r="CD11" i="245"/>
  <c r="BV11" i="245"/>
  <c r="CA11" i="245"/>
  <c r="CE11" i="245"/>
  <c r="BW11" i="245"/>
  <c r="CC11" i="245"/>
  <c r="BU11" i="245"/>
  <c r="CF15" i="245"/>
  <c r="CB15" i="245"/>
  <c r="BX15" i="245"/>
  <c r="BY15" i="245" s="1"/>
  <c r="BZ15" i="245" s="1"/>
  <c r="BT15" i="245"/>
  <c r="CD15" i="245"/>
  <c r="BV15" i="245"/>
  <c r="CA15" i="245"/>
  <c r="CE15" i="245"/>
  <c r="BW15" i="245"/>
  <c r="CC15" i="245"/>
  <c r="BU15" i="245"/>
  <c r="CF19" i="245"/>
  <c r="CB19" i="245"/>
  <c r="BX19" i="245"/>
  <c r="BY19" i="245" s="1"/>
  <c r="BZ19" i="245" s="1"/>
  <c r="BT19" i="245"/>
  <c r="CD19" i="245"/>
  <c r="BV19" i="245"/>
  <c r="CA19" i="245"/>
  <c r="CE19" i="245"/>
  <c r="BW19" i="245"/>
  <c r="CC19" i="245"/>
  <c r="BU19" i="245"/>
  <c r="CF23" i="245"/>
  <c r="CB23" i="245"/>
  <c r="BX23" i="245"/>
  <c r="BY23" i="245" s="1"/>
  <c r="BZ23" i="245" s="1"/>
  <c r="BT23" i="245"/>
  <c r="CD23" i="245"/>
  <c r="BV23" i="245"/>
  <c r="CA23" i="245"/>
  <c r="CE23" i="245"/>
  <c r="BW23" i="245"/>
  <c r="CC23" i="245"/>
  <c r="BU23" i="245"/>
  <c r="CV5" i="245"/>
  <c r="CW5" i="245" s="1"/>
  <c r="CK5" i="245"/>
  <c r="CL5" i="245"/>
  <c r="CT6" i="245"/>
  <c r="CL6" i="245"/>
  <c r="CV6" i="245"/>
  <c r="CR6" i="245"/>
  <c r="CN6" i="245"/>
  <c r="CU6" i="245"/>
  <c r="CM6" i="245"/>
  <c r="CS6" i="245"/>
  <c r="CK6" i="245"/>
  <c r="CW6" i="245"/>
  <c r="CO6" i="245"/>
  <c r="CP6" i="245" s="1"/>
  <c r="CQ6" i="245" s="1"/>
  <c r="CU8" i="245"/>
  <c r="CM8" i="245"/>
  <c r="CT8" i="245"/>
  <c r="CL8" i="245"/>
  <c r="CW8" i="245"/>
  <c r="CS8" i="245"/>
  <c r="CO8" i="245"/>
  <c r="CP8" i="245" s="1"/>
  <c r="CQ8" i="245" s="1"/>
  <c r="CK8" i="245"/>
  <c r="CV8" i="245"/>
  <c r="CR8" i="245"/>
  <c r="CN8" i="245"/>
  <c r="CU10" i="245"/>
  <c r="CM10" i="245"/>
  <c r="CT10" i="245"/>
  <c r="CL10" i="245"/>
  <c r="CW10" i="245"/>
  <c r="CS10" i="245"/>
  <c r="CO10" i="245"/>
  <c r="CP10" i="245" s="1"/>
  <c r="CQ10" i="245" s="1"/>
  <c r="CK10" i="245"/>
  <c r="CV10" i="245"/>
  <c r="CR10" i="245"/>
  <c r="CN10" i="245"/>
  <c r="CU12" i="245"/>
  <c r="CM12" i="245"/>
  <c r="CT12" i="245"/>
  <c r="CL12" i="245"/>
  <c r="CW12" i="245"/>
  <c r="CS12" i="245"/>
  <c r="CO12" i="245"/>
  <c r="CP12" i="245" s="1"/>
  <c r="CQ12" i="245" s="1"/>
  <c r="CK12" i="245"/>
  <c r="CV12" i="245"/>
  <c r="CR12" i="245"/>
  <c r="CN12" i="245"/>
  <c r="CU14" i="245"/>
  <c r="CM14" i="245"/>
  <c r="CT14" i="245"/>
  <c r="CL14" i="245"/>
  <c r="CW14" i="245"/>
  <c r="CS14" i="245"/>
  <c r="CO14" i="245"/>
  <c r="CP14" i="245" s="1"/>
  <c r="CQ14" i="245" s="1"/>
  <c r="CK14" i="245"/>
  <c r="CV14" i="245"/>
  <c r="CR14" i="245"/>
  <c r="CN14" i="245"/>
  <c r="CU16" i="245"/>
  <c r="CM16" i="245"/>
  <c r="CT16" i="245"/>
  <c r="CL16" i="245"/>
  <c r="CW16" i="245"/>
  <c r="CS16" i="245"/>
  <c r="CO16" i="245"/>
  <c r="CP16" i="245" s="1"/>
  <c r="CQ16" i="245" s="1"/>
  <c r="CK16" i="245"/>
  <c r="CV16" i="245"/>
  <c r="CR16" i="245"/>
  <c r="CN16" i="245"/>
  <c r="CV18" i="245"/>
  <c r="CR18" i="245"/>
  <c r="CN18" i="245"/>
  <c r="CT18" i="245"/>
  <c r="CL18" i="245"/>
  <c r="CW18" i="245"/>
  <c r="CO18" i="245"/>
  <c r="CP18" i="245" s="1"/>
  <c r="CQ18" i="245" s="1"/>
  <c r="CU18" i="245"/>
  <c r="CM18" i="245"/>
  <c r="CS18" i="245"/>
  <c r="CK18" i="245"/>
  <c r="DN9" i="245"/>
  <c r="DJ9" i="245"/>
  <c r="DF9" i="245"/>
  <c r="DG9" i="245" s="1"/>
  <c r="DH9" i="245" s="1"/>
  <c r="DB9" i="245"/>
  <c r="DL9" i="245"/>
  <c r="DD9" i="245"/>
  <c r="DM9" i="245"/>
  <c r="DE9" i="245"/>
  <c r="DK9" i="245"/>
  <c r="DC9" i="245"/>
  <c r="DI9" i="245"/>
  <c r="DN13" i="245"/>
  <c r="DJ13" i="245"/>
  <c r="DF13" i="245"/>
  <c r="DG13" i="245" s="1"/>
  <c r="DH13" i="245" s="1"/>
  <c r="DB13" i="245"/>
  <c r="DL13" i="245"/>
  <c r="DD13" i="245"/>
  <c r="DM13" i="245"/>
  <c r="DE13" i="245"/>
  <c r="DK13" i="245"/>
  <c r="DC13" i="245"/>
  <c r="DI13" i="245"/>
  <c r="DN17" i="245"/>
  <c r="DJ17" i="245"/>
  <c r="DF17" i="245"/>
  <c r="DG17" i="245" s="1"/>
  <c r="DH17" i="245" s="1"/>
  <c r="DB17" i="245"/>
  <c r="DL17" i="245"/>
  <c r="DD17" i="245"/>
  <c r="DM17" i="245"/>
  <c r="DE17" i="245"/>
  <c r="DK17" i="245"/>
  <c r="DC17" i="245"/>
  <c r="DI17" i="245"/>
  <c r="DN21" i="245"/>
  <c r="DJ21" i="245"/>
  <c r="DF21" i="245"/>
  <c r="DG21" i="245" s="1"/>
  <c r="DH21" i="245" s="1"/>
  <c r="DB21" i="245"/>
  <c r="DL21" i="245"/>
  <c r="DD21" i="245"/>
  <c r="DM21" i="245"/>
  <c r="DE21" i="245"/>
  <c r="DK21" i="245"/>
  <c r="DC21" i="245"/>
  <c r="DI21" i="245"/>
  <c r="DN25" i="245"/>
  <c r="DJ25" i="245"/>
  <c r="DF25" i="245"/>
  <c r="DG25" i="245" s="1"/>
  <c r="DH25" i="245" s="1"/>
  <c r="DB25" i="245"/>
  <c r="DL25" i="245"/>
  <c r="DD25" i="245"/>
  <c r="DM25" i="245"/>
  <c r="DE25" i="245"/>
  <c r="DK25" i="245"/>
  <c r="DC25" i="245"/>
  <c r="DI25" i="245"/>
  <c r="DL8" i="245"/>
  <c r="DD8" i="245"/>
  <c r="DN8" i="245"/>
  <c r="DJ8" i="245"/>
  <c r="DF8" i="245"/>
  <c r="DG8" i="245" s="1"/>
  <c r="DH8" i="245" s="1"/>
  <c r="DB8" i="245"/>
  <c r="DM8" i="245"/>
  <c r="DE8" i="245"/>
  <c r="DK8" i="245"/>
  <c r="DC8" i="245"/>
  <c r="DI8" i="245"/>
  <c r="DL12" i="245"/>
  <c r="DD12" i="245"/>
  <c r="DN12" i="245"/>
  <c r="DJ12" i="245"/>
  <c r="DF12" i="245"/>
  <c r="DG12" i="245" s="1"/>
  <c r="DH12" i="245" s="1"/>
  <c r="DB12" i="245"/>
  <c r="DM12" i="245"/>
  <c r="DE12" i="245"/>
  <c r="DK12" i="245"/>
  <c r="DC12" i="245"/>
  <c r="DI12" i="245"/>
  <c r="DL16" i="245"/>
  <c r="DD16" i="245"/>
  <c r="DN16" i="245"/>
  <c r="DJ16" i="245"/>
  <c r="DF16" i="245"/>
  <c r="DG16" i="245" s="1"/>
  <c r="DH16" i="245" s="1"/>
  <c r="DB16" i="245"/>
  <c r="DM16" i="245"/>
  <c r="DE16" i="245"/>
  <c r="DK16" i="245"/>
  <c r="DC16" i="245"/>
  <c r="DI16" i="245"/>
  <c r="DL20" i="245"/>
  <c r="DD20" i="245"/>
  <c r="DN20" i="245"/>
  <c r="DJ20" i="245"/>
  <c r="DF20" i="245"/>
  <c r="DG20" i="245" s="1"/>
  <c r="DH20" i="245" s="1"/>
  <c r="DB20" i="245"/>
  <c r="DM20" i="245"/>
  <c r="DE20" i="245"/>
  <c r="DK20" i="245"/>
  <c r="DC20" i="245"/>
  <c r="DI20" i="245"/>
  <c r="DL24" i="245"/>
  <c r="DD24" i="245"/>
  <c r="DN24" i="245"/>
  <c r="DJ24" i="245"/>
  <c r="DF24" i="245"/>
  <c r="DG24" i="245" s="1"/>
  <c r="DH24" i="245" s="1"/>
  <c r="DB24" i="245"/>
  <c r="DM24" i="245"/>
  <c r="DE24" i="245"/>
  <c r="DK24" i="245"/>
  <c r="DC24" i="245"/>
  <c r="DI24" i="245"/>
  <c r="CW7" i="245"/>
  <c r="CS7" i="245"/>
  <c r="CV7" i="245"/>
  <c r="CR7" i="245"/>
  <c r="CN7" i="245"/>
  <c r="CU7" i="245"/>
  <c r="CT7" i="245"/>
  <c r="CL7" i="245"/>
  <c r="CO7" i="245"/>
  <c r="CP7" i="245" s="1"/>
  <c r="CQ7" i="245" s="1"/>
  <c r="CM7" i="245"/>
  <c r="CK7" i="245"/>
  <c r="CW9" i="245"/>
  <c r="CS9" i="245"/>
  <c r="CO9" i="245"/>
  <c r="CP9" i="245" s="1"/>
  <c r="CQ9" i="245" s="1"/>
  <c r="CK9" i="245"/>
  <c r="CV9" i="245"/>
  <c r="CR9" i="245"/>
  <c r="CN9" i="245"/>
  <c r="CU9" i="245"/>
  <c r="CM9" i="245"/>
  <c r="CT9" i="245"/>
  <c r="CL9" i="245"/>
  <c r="CW11" i="245"/>
  <c r="CS11" i="245"/>
  <c r="CO11" i="245"/>
  <c r="CP11" i="245" s="1"/>
  <c r="CQ11" i="245" s="1"/>
  <c r="CK11" i="245"/>
  <c r="CV11" i="245"/>
  <c r="CR11" i="245"/>
  <c r="CN11" i="245"/>
  <c r="CU11" i="245"/>
  <c r="CM11" i="245"/>
  <c r="CT11" i="245"/>
  <c r="CL11" i="245"/>
  <c r="CW13" i="245"/>
  <c r="CS13" i="245"/>
  <c r="CO13" i="245"/>
  <c r="CP13" i="245" s="1"/>
  <c r="CQ13" i="245" s="1"/>
  <c r="CK13" i="245"/>
  <c r="CV13" i="245"/>
  <c r="CR13" i="245"/>
  <c r="CN13" i="245"/>
  <c r="CU13" i="245"/>
  <c r="CM13" i="245"/>
  <c r="CT13" i="245"/>
  <c r="CL13" i="245"/>
  <c r="CW15" i="245"/>
  <c r="CS15" i="245"/>
  <c r="CO15" i="245"/>
  <c r="CP15" i="245" s="1"/>
  <c r="CQ15" i="245" s="1"/>
  <c r="CK15" i="245"/>
  <c r="CV15" i="245"/>
  <c r="CR15" i="245"/>
  <c r="CN15" i="245"/>
  <c r="CU15" i="245"/>
  <c r="CM15" i="245"/>
  <c r="CT15" i="245"/>
  <c r="CL15" i="245"/>
  <c r="CW17" i="245"/>
  <c r="CS17" i="245"/>
  <c r="CO17" i="245"/>
  <c r="CP17" i="245" s="1"/>
  <c r="CQ17" i="245" s="1"/>
  <c r="CK17" i="245"/>
  <c r="CV17" i="245"/>
  <c r="CR17" i="245"/>
  <c r="CN17" i="245"/>
  <c r="CU17" i="245"/>
  <c r="CM17" i="245"/>
  <c r="CT17" i="245"/>
  <c r="CL17" i="245"/>
  <c r="DN7" i="245"/>
  <c r="DJ7" i="245"/>
  <c r="DF7" i="245"/>
  <c r="DG7" i="245" s="1"/>
  <c r="DH7" i="245" s="1"/>
  <c r="DB7" i="245"/>
  <c r="DL7" i="245"/>
  <c r="DD7" i="245"/>
  <c r="DK7" i="245"/>
  <c r="DC7" i="245"/>
  <c r="DI7" i="245"/>
  <c r="DM7" i="245"/>
  <c r="DE7" i="245"/>
  <c r="DN11" i="245"/>
  <c r="DJ11" i="245"/>
  <c r="DF11" i="245"/>
  <c r="DG11" i="245" s="1"/>
  <c r="DH11" i="245" s="1"/>
  <c r="DB11" i="245"/>
  <c r="DL11" i="245"/>
  <c r="DD11" i="245"/>
  <c r="DK11" i="245"/>
  <c r="DC11" i="245"/>
  <c r="DI11" i="245"/>
  <c r="DM11" i="245"/>
  <c r="DE11" i="245"/>
  <c r="DN15" i="245"/>
  <c r="DJ15" i="245"/>
  <c r="DF15" i="245"/>
  <c r="DG15" i="245" s="1"/>
  <c r="DH15" i="245" s="1"/>
  <c r="DB15" i="245"/>
  <c r="DL15" i="245"/>
  <c r="DD15" i="245"/>
  <c r="DK15" i="245"/>
  <c r="DC15" i="245"/>
  <c r="DI15" i="245"/>
  <c r="DM15" i="245"/>
  <c r="DE15" i="245"/>
  <c r="DN19" i="245"/>
  <c r="DJ19" i="245"/>
  <c r="DF19" i="245"/>
  <c r="DG19" i="245" s="1"/>
  <c r="DH19" i="245" s="1"/>
  <c r="DB19" i="245"/>
  <c r="DL19" i="245"/>
  <c r="DD19" i="245"/>
  <c r="DK19" i="245"/>
  <c r="DC19" i="245"/>
  <c r="DI19" i="245"/>
  <c r="DM19" i="245"/>
  <c r="DE19" i="245"/>
  <c r="DN23" i="245"/>
  <c r="DJ23" i="245"/>
  <c r="DF23" i="245"/>
  <c r="DG23" i="245" s="1"/>
  <c r="DH23" i="245" s="1"/>
  <c r="DB23" i="245"/>
  <c r="DL23" i="245"/>
  <c r="DD23" i="245"/>
  <c r="DK23" i="245"/>
  <c r="DC23" i="245"/>
  <c r="DI23" i="245"/>
  <c r="DM23" i="245"/>
  <c r="DE23" i="245"/>
  <c r="ED5" i="245"/>
  <c r="EE5" i="245" s="1"/>
  <c r="DT5" i="245"/>
  <c r="DS5" i="245"/>
  <c r="DL6" i="245"/>
  <c r="DD6" i="245"/>
  <c r="DN6" i="245"/>
  <c r="DJ6" i="245"/>
  <c r="DF6" i="245"/>
  <c r="DG6" i="245" s="1"/>
  <c r="DH6" i="245" s="1"/>
  <c r="DB6" i="245"/>
  <c r="DI6" i="245"/>
  <c r="DM6" i="245"/>
  <c r="DE6" i="245"/>
  <c r="DK6" i="245"/>
  <c r="DC6" i="245"/>
  <c r="DL10" i="245"/>
  <c r="DD10" i="245"/>
  <c r="DN10" i="245"/>
  <c r="DJ10" i="245"/>
  <c r="DF10" i="245"/>
  <c r="DG10" i="245" s="1"/>
  <c r="DH10" i="245" s="1"/>
  <c r="DB10" i="245"/>
  <c r="DI10" i="245"/>
  <c r="DM10" i="245"/>
  <c r="DE10" i="245"/>
  <c r="DK10" i="245"/>
  <c r="DC10" i="245"/>
  <c r="DL14" i="245"/>
  <c r="DD14" i="245"/>
  <c r="DN14" i="245"/>
  <c r="DJ14" i="245"/>
  <c r="DF14" i="245"/>
  <c r="DG14" i="245" s="1"/>
  <c r="DH14" i="245" s="1"/>
  <c r="DB14" i="245"/>
  <c r="DI14" i="245"/>
  <c r="DM14" i="245"/>
  <c r="DE14" i="245"/>
  <c r="DK14" i="245"/>
  <c r="DC14" i="245"/>
  <c r="DL18" i="245"/>
  <c r="DD18" i="245"/>
  <c r="DN18" i="245"/>
  <c r="DJ18" i="245"/>
  <c r="DF18" i="245"/>
  <c r="DG18" i="245" s="1"/>
  <c r="DH18" i="245" s="1"/>
  <c r="DB18" i="245"/>
  <c r="DI18" i="245"/>
  <c r="DM18" i="245"/>
  <c r="DE18" i="245"/>
  <c r="DK18" i="245"/>
  <c r="DC18" i="245"/>
  <c r="DL22" i="245"/>
  <c r="DD22" i="245"/>
  <c r="DN22" i="245"/>
  <c r="DJ22" i="245"/>
  <c r="DF22" i="245"/>
  <c r="DG22" i="245" s="1"/>
  <c r="DH22" i="245" s="1"/>
  <c r="DB22" i="245"/>
  <c r="DI22" i="245"/>
  <c r="DM22" i="245"/>
  <c r="DE22" i="245"/>
  <c r="DK22" i="245"/>
  <c r="DC22" i="245"/>
  <c r="CT19" i="245"/>
  <c r="CL19" i="245"/>
  <c r="CV19" i="245"/>
  <c r="CR19" i="245"/>
  <c r="CN19" i="245"/>
  <c r="CW19" i="245"/>
  <c r="CO19" i="245"/>
  <c r="CP19" i="245" s="1"/>
  <c r="CQ19" i="245" s="1"/>
  <c r="CU19" i="245"/>
  <c r="CM19" i="245"/>
  <c r="CS19" i="245"/>
  <c r="CK19" i="245"/>
  <c r="CT21" i="245"/>
  <c r="CL21" i="245"/>
  <c r="CV21" i="245"/>
  <c r="CR21" i="245"/>
  <c r="CN21" i="245"/>
  <c r="CU21" i="245"/>
  <c r="CM21" i="245"/>
  <c r="CS21" i="245"/>
  <c r="CK21" i="245"/>
  <c r="CW21" i="245"/>
  <c r="CO21" i="245"/>
  <c r="CP21" i="245" s="1"/>
  <c r="CQ21" i="245" s="1"/>
  <c r="CT23" i="245"/>
  <c r="CL23" i="245"/>
  <c r="CV23" i="245"/>
  <c r="CR23" i="245"/>
  <c r="CN23" i="245"/>
  <c r="CW23" i="245"/>
  <c r="CO23" i="245"/>
  <c r="CP23" i="245" s="1"/>
  <c r="CQ23" i="245" s="1"/>
  <c r="CU23" i="245"/>
  <c r="CM23" i="245"/>
  <c r="CS23" i="245"/>
  <c r="CK23" i="245"/>
  <c r="CT25" i="245"/>
  <c r="CL25" i="245"/>
  <c r="CV25" i="245"/>
  <c r="CR25" i="245"/>
  <c r="CN25" i="245"/>
  <c r="CU25" i="245"/>
  <c r="CM25" i="245"/>
  <c r="CS25" i="245"/>
  <c r="CK25" i="245"/>
  <c r="CW25" i="245"/>
  <c r="CO25" i="245"/>
  <c r="CP25" i="245" s="1"/>
  <c r="CQ25" i="245" s="1"/>
  <c r="EC6" i="245"/>
  <c r="DU6" i="245"/>
  <c r="EB6" i="245"/>
  <c r="DT6" i="245"/>
  <c r="EE6" i="245"/>
  <c r="EA6" i="245"/>
  <c r="DW6" i="245"/>
  <c r="DX6" i="245" s="1"/>
  <c r="DY6" i="245" s="1"/>
  <c r="DS6" i="245"/>
  <c r="ED6" i="245"/>
  <c r="DZ6" i="245"/>
  <c r="DV6" i="245"/>
  <c r="EC8" i="245"/>
  <c r="DU8" i="245"/>
  <c r="EB8" i="245"/>
  <c r="DT8" i="245"/>
  <c r="EE8" i="245"/>
  <c r="EA8" i="245"/>
  <c r="DW8" i="245"/>
  <c r="DX8" i="245" s="1"/>
  <c r="DY8" i="245" s="1"/>
  <c r="DS8" i="245"/>
  <c r="ED8" i="245"/>
  <c r="DZ8" i="245"/>
  <c r="DV8" i="245"/>
  <c r="EC10" i="245"/>
  <c r="DU10" i="245"/>
  <c r="EB10" i="245"/>
  <c r="DT10" i="245"/>
  <c r="EE10" i="245"/>
  <c r="EA10" i="245"/>
  <c r="DW10" i="245"/>
  <c r="DX10" i="245" s="1"/>
  <c r="DY10" i="245" s="1"/>
  <c r="DS10" i="245"/>
  <c r="ED10" i="245"/>
  <c r="DZ10" i="245"/>
  <c r="DV10" i="245"/>
  <c r="EC12" i="245"/>
  <c r="DU12" i="245"/>
  <c r="EB12" i="245"/>
  <c r="DT12" i="245"/>
  <c r="EE12" i="245"/>
  <c r="EA12" i="245"/>
  <c r="DW12" i="245"/>
  <c r="DX12" i="245" s="1"/>
  <c r="DY12" i="245" s="1"/>
  <c r="DS12" i="245"/>
  <c r="ED12" i="245"/>
  <c r="DZ12" i="245"/>
  <c r="DV12" i="245"/>
  <c r="EC14" i="245"/>
  <c r="DU14" i="245"/>
  <c r="EB14" i="245"/>
  <c r="DT14" i="245"/>
  <c r="EE14" i="245"/>
  <c r="EA14" i="245"/>
  <c r="DW14" i="245"/>
  <c r="DX14" i="245" s="1"/>
  <c r="DY14" i="245" s="1"/>
  <c r="DS14" i="245"/>
  <c r="ED14" i="245"/>
  <c r="DZ14" i="245"/>
  <c r="DV14" i="245"/>
  <c r="EC16" i="245"/>
  <c r="DU16" i="245"/>
  <c r="EB16" i="245"/>
  <c r="DT16" i="245"/>
  <c r="EE16" i="245"/>
  <c r="EA16" i="245"/>
  <c r="DW16" i="245"/>
  <c r="DX16" i="245" s="1"/>
  <c r="DY16" i="245" s="1"/>
  <c r="DS16" i="245"/>
  <c r="ED16" i="245"/>
  <c r="DZ16" i="245"/>
  <c r="DV16" i="245"/>
  <c r="EC18" i="245"/>
  <c r="DU18" i="245"/>
  <c r="EB18" i="245"/>
  <c r="DT18" i="245"/>
  <c r="EE18" i="245"/>
  <c r="EA18" i="245"/>
  <c r="DW18" i="245"/>
  <c r="DX18" i="245" s="1"/>
  <c r="DY18" i="245" s="1"/>
  <c r="DS18" i="245"/>
  <c r="ED18" i="245"/>
  <c r="DZ18" i="245"/>
  <c r="DV18" i="245"/>
  <c r="EE23" i="245"/>
  <c r="EA23" i="245"/>
  <c r="DW23" i="245"/>
  <c r="DX23" i="245" s="1"/>
  <c r="DY23" i="245" s="1"/>
  <c r="DS23" i="245"/>
  <c r="EC23" i="245"/>
  <c r="DU23" i="245"/>
  <c r="ED23" i="245"/>
  <c r="DV23" i="245"/>
  <c r="EB23" i="245"/>
  <c r="DT23" i="245"/>
  <c r="DZ23" i="245"/>
  <c r="EU5" i="245"/>
  <c r="EV5" i="245" s="1"/>
  <c r="EJ5" i="245"/>
  <c r="EK5" i="245"/>
  <c r="EC22" i="245"/>
  <c r="DU22" i="245"/>
  <c r="EE22" i="245"/>
  <c r="EA22" i="245"/>
  <c r="DW22" i="245"/>
  <c r="DX22" i="245" s="1"/>
  <c r="DY22" i="245" s="1"/>
  <c r="DS22" i="245"/>
  <c r="ED22" i="245"/>
  <c r="DV22" i="245"/>
  <c r="EB22" i="245"/>
  <c r="DT22" i="245"/>
  <c r="DZ22" i="245"/>
  <c r="CV20" i="245"/>
  <c r="CR20" i="245"/>
  <c r="CN20" i="245"/>
  <c r="CT20" i="245"/>
  <c r="CL20" i="245"/>
  <c r="CS20" i="245"/>
  <c r="CK20" i="245"/>
  <c r="CW20" i="245"/>
  <c r="CO20" i="245"/>
  <c r="CP20" i="245" s="1"/>
  <c r="CQ20" i="245" s="1"/>
  <c r="CU20" i="245"/>
  <c r="CM20" i="245"/>
  <c r="CV22" i="245"/>
  <c r="CR22" i="245"/>
  <c r="CN22" i="245"/>
  <c r="CT22" i="245"/>
  <c r="CL22" i="245"/>
  <c r="CW22" i="245"/>
  <c r="CO22" i="245"/>
  <c r="CP22" i="245" s="1"/>
  <c r="CQ22" i="245" s="1"/>
  <c r="CU22" i="245"/>
  <c r="CM22" i="245"/>
  <c r="CS22" i="245"/>
  <c r="CK22" i="245"/>
  <c r="CV24" i="245"/>
  <c r="CR24" i="245"/>
  <c r="CN24" i="245"/>
  <c r="CT24" i="245"/>
  <c r="CL24" i="245"/>
  <c r="CS24" i="245"/>
  <c r="CK24" i="245"/>
  <c r="CW24" i="245"/>
  <c r="CO24" i="245"/>
  <c r="CP24" i="245" s="1"/>
  <c r="CQ24" i="245" s="1"/>
  <c r="CU24" i="245"/>
  <c r="CM24" i="245"/>
  <c r="DC5" i="245"/>
  <c r="DM5" i="245"/>
  <c r="DN5" i="245" s="1"/>
  <c r="DB5" i="245"/>
  <c r="EE7" i="245"/>
  <c r="EA7" i="245"/>
  <c r="DW7" i="245"/>
  <c r="DX7" i="245" s="1"/>
  <c r="DY7" i="245" s="1"/>
  <c r="DS7" i="245"/>
  <c r="ED7" i="245"/>
  <c r="DZ7" i="245"/>
  <c r="DV7" i="245"/>
  <c r="EC7" i="245"/>
  <c r="DU7" i="245"/>
  <c r="EB7" i="245"/>
  <c r="DT7" i="245"/>
  <c r="EE9" i="245"/>
  <c r="EA9" i="245"/>
  <c r="DW9" i="245"/>
  <c r="DX9" i="245" s="1"/>
  <c r="DY9" i="245" s="1"/>
  <c r="DS9" i="245"/>
  <c r="ED9" i="245"/>
  <c r="DZ9" i="245"/>
  <c r="DV9" i="245"/>
  <c r="EC9" i="245"/>
  <c r="DU9" i="245"/>
  <c r="EB9" i="245"/>
  <c r="DT9" i="245"/>
  <c r="EE11" i="245"/>
  <c r="EA11" i="245"/>
  <c r="DW11" i="245"/>
  <c r="DX11" i="245" s="1"/>
  <c r="DY11" i="245" s="1"/>
  <c r="DS11" i="245"/>
  <c r="ED11" i="245"/>
  <c r="DZ11" i="245"/>
  <c r="DV11" i="245"/>
  <c r="EC11" i="245"/>
  <c r="DU11" i="245"/>
  <c r="EB11" i="245"/>
  <c r="DT11" i="245"/>
  <c r="EE13" i="245"/>
  <c r="EA13" i="245"/>
  <c r="DW13" i="245"/>
  <c r="DX13" i="245" s="1"/>
  <c r="DY13" i="245" s="1"/>
  <c r="DS13" i="245"/>
  <c r="ED13" i="245"/>
  <c r="DZ13" i="245"/>
  <c r="DV13" i="245"/>
  <c r="EC13" i="245"/>
  <c r="DU13" i="245"/>
  <c r="EB13" i="245"/>
  <c r="DT13" i="245"/>
  <c r="EE15" i="245"/>
  <c r="EA15" i="245"/>
  <c r="DW15" i="245"/>
  <c r="DX15" i="245" s="1"/>
  <c r="DY15" i="245" s="1"/>
  <c r="DS15" i="245"/>
  <c r="ED15" i="245"/>
  <c r="DZ15" i="245"/>
  <c r="DV15" i="245"/>
  <c r="EC15" i="245"/>
  <c r="DU15" i="245"/>
  <c r="EB15" i="245"/>
  <c r="DT15" i="245"/>
  <c r="EE17" i="245"/>
  <c r="EA17" i="245"/>
  <c r="DW17" i="245"/>
  <c r="DX17" i="245" s="1"/>
  <c r="DY17" i="245" s="1"/>
  <c r="DS17" i="245"/>
  <c r="ED17" i="245"/>
  <c r="DZ17" i="245"/>
  <c r="DV17" i="245"/>
  <c r="EC17" i="245"/>
  <c r="DU17" i="245"/>
  <c r="EB17" i="245"/>
  <c r="DT17" i="245"/>
  <c r="EE19" i="245"/>
  <c r="EA19" i="245"/>
  <c r="DW19" i="245"/>
  <c r="DX19" i="245" s="1"/>
  <c r="DY19" i="245" s="1"/>
  <c r="DS19" i="245"/>
  <c r="ED19" i="245"/>
  <c r="DZ19" i="245"/>
  <c r="DV19" i="245"/>
  <c r="EC19" i="245"/>
  <c r="DU19" i="245"/>
  <c r="EB19" i="245"/>
  <c r="DT19" i="245"/>
  <c r="EE21" i="245"/>
  <c r="EA21" i="245"/>
  <c r="DW21" i="245"/>
  <c r="DX21" i="245" s="1"/>
  <c r="DY21" i="245" s="1"/>
  <c r="DS21" i="245"/>
  <c r="EC21" i="245"/>
  <c r="DU21" i="245"/>
  <c r="EB21" i="245"/>
  <c r="DT21" i="245"/>
  <c r="DZ21" i="245"/>
  <c r="ED21" i="245"/>
  <c r="DV21" i="245"/>
  <c r="EE25" i="245"/>
  <c r="EA25" i="245"/>
  <c r="DW25" i="245"/>
  <c r="DX25" i="245" s="1"/>
  <c r="DY25" i="245" s="1"/>
  <c r="DS25" i="245"/>
  <c r="EC25" i="245"/>
  <c r="DU25" i="245"/>
  <c r="EB25" i="245"/>
  <c r="DT25" i="245"/>
  <c r="DZ25" i="245"/>
  <c r="ED25" i="245"/>
  <c r="DV25" i="245"/>
  <c r="EC20" i="245"/>
  <c r="DU20" i="245"/>
  <c r="EE20" i="245"/>
  <c r="EA20" i="245"/>
  <c r="DW20" i="245"/>
  <c r="DX20" i="245" s="1"/>
  <c r="DY20" i="245" s="1"/>
  <c r="DS20" i="245"/>
  <c r="DZ20" i="245"/>
  <c r="ED20" i="245"/>
  <c r="DV20" i="245"/>
  <c r="EB20" i="245"/>
  <c r="DT20" i="245"/>
  <c r="EC24" i="245"/>
  <c r="DU24" i="245"/>
  <c r="EE24" i="245"/>
  <c r="EA24" i="245"/>
  <c r="DW24" i="245"/>
  <c r="DX24" i="245" s="1"/>
  <c r="DY24" i="245" s="1"/>
  <c r="DS24" i="245"/>
  <c r="DZ24" i="245"/>
  <c r="ED24" i="245"/>
  <c r="DV24" i="245"/>
  <c r="EB24" i="245"/>
  <c r="DT24" i="245"/>
  <c r="ES6" i="245"/>
  <c r="EK6" i="245"/>
  <c r="EU6" i="245"/>
  <c r="EQ6" i="245"/>
  <c r="EM6" i="245"/>
  <c r="ER6" i="245"/>
  <c r="EJ6" i="245"/>
  <c r="EV6" i="245"/>
  <c r="EN6" i="245"/>
  <c r="EO6" i="245" s="1"/>
  <c r="EP6" i="245" s="1"/>
  <c r="ET6" i="245"/>
  <c r="EL6" i="245"/>
  <c r="ES8" i="245"/>
  <c r="EK8" i="245"/>
  <c r="EU8" i="245"/>
  <c r="EQ8" i="245"/>
  <c r="EM8" i="245"/>
  <c r="EV8" i="245"/>
  <c r="EN8" i="245"/>
  <c r="EO8" i="245" s="1"/>
  <c r="EP8" i="245" s="1"/>
  <c r="ET8" i="245"/>
  <c r="EL8" i="245"/>
  <c r="ER8" i="245"/>
  <c r="EJ8" i="245"/>
  <c r="ES10" i="245"/>
  <c r="EK10" i="245"/>
  <c r="EU10" i="245"/>
  <c r="EQ10" i="245"/>
  <c r="EM10" i="245"/>
  <c r="ER10" i="245"/>
  <c r="EJ10" i="245"/>
  <c r="EV10" i="245"/>
  <c r="EN10" i="245"/>
  <c r="EO10" i="245" s="1"/>
  <c r="EP10" i="245" s="1"/>
  <c r="ET10" i="245"/>
  <c r="EL10" i="245"/>
  <c r="ES12" i="245"/>
  <c r="EK12" i="245"/>
  <c r="EU12" i="245"/>
  <c r="EQ12" i="245"/>
  <c r="EM12" i="245"/>
  <c r="EV12" i="245"/>
  <c r="EN12" i="245"/>
  <c r="EO12" i="245" s="1"/>
  <c r="EP12" i="245" s="1"/>
  <c r="ET12" i="245"/>
  <c r="EL12" i="245"/>
  <c r="ER12" i="245"/>
  <c r="EJ12" i="245"/>
  <c r="ET14" i="245"/>
  <c r="ES14" i="245"/>
  <c r="EK14" i="245"/>
  <c r="EV14" i="245"/>
  <c r="ER14" i="245"/>
  <c r="EN14" i="245"/>
  <c r="EO14" i="245" s="1"/>
  <c r="EP14" i="245" s="1"/>
  <c r="EJ14" i="245"/>
  <c r="EU14" i="245"/>
  <c r="EQ14" i="245"/>
  <c r="EM14" i="245"/>
  <c r="EL14" i="245"/>
  <c r="ET16" i="245"/>
  <c r="EL16" i="245"/>
  <c r="ES16" i="245"/>
  <c r="EK16" i="245"/>
  <c r="EV16" i="245"/>
  <c r="ER16" i="245"/>
  <c r="EN16" i="245"/>
  <c r="EO16" i="245" s="1"/>
  <c r="EP16" i="245" s="1"/>
  <c r="EJ16" i="245"/>
  <c r="EU16" i="245"/>
  <c r="EQ16" i="245"/>
  <c r="EM16" i="245"/>
  <c r="ET18" i="245"/>
  <c r="EL18" i="245"/>
  <c r="ES18" i="245"/>
  <c r="EK18" i="245"/>
  <c r="EV18" i="245"/>
  <c r="ER18" i="245"/>
  <c r="EN18" i="245"/>
  <c r="EO18" i="245" s="1"/>
  <c r="EP18" i="245" s="1"/>
  <c r="EJ18" i="245"/>
  <c r="EU18" i="245"/>
  <c r="EQ18" i="245"/>
  <c r="EM18" i="245"/>
  <c r="ET20" i="245"/>
  <c r="EL20" i="245"/>
  <c r="ES20" i="245"/>
  <c r="EK20" i="245"/>
  <c r="EV20" i="245"/>
  <c r="ER20" i="245"/>
  <c r="EN20" i="245"/>
  <c r="EO20" i="245" s="1"/>
  <c r="EP20" i="245" s="1"/>
  <c r="EJ20" i="245"/>
  <c r="EU20" i="245"/>
  <c r="EQ20" i="245"/>
  <c r="EM20" i="245"/>
  <c r="EU7" i="245"/>
  <c r="EQ7" i="245"/>
  <c r="EM7" i="245"/>
  <c r="ES7" i="245"/>
  <c r="EK7" i="245"/>
  <c r="ET7" i="245"/>
  <c r="EL7" i="245"/>
  <c r="ER7" i="245"/>
  <c r="EJ7" i="245"/>
  <c r="EV7" i="245"/>
  <c r="EN7" i="245"/>
  <c r="EO7" i="245" s="1"/>
  <c r="EP7" i="245" s="1"/>
  <c r="EU9" i="245"/>
  <c r="EQ9" i="245"/>
  <c r="EM9" i="245"/>
  <c r="ES9" i="245"/>
  <c r="EK9" i="245"/>
  <c r="EV9" i="245"/>
  <c r="EN9" i="245"/>
  <c r="EO9" i="245" s="1"/>
  <c r="EP9" i="245" s="1"/>
  <c r="ET9" i="245"/>
  <c r="EL9" i="245"/>
  <c r="ER9" i="245"/>
  <c r="EJ9" i="245"/>
  <c r="EU11" i="245"/>
  <c r="EQ11" i="245"/>
  <c r="EM11" i="245"/>
  <c r="ES11" i="245"/>
  <c r="EK11" i="245"/>
  <c r="ET11" i="245"/>
  <c r="EL11" i="245"/>
  <c r="ER11" i="245"/>
  <c r="EJ11" i="245"/>
  <c r="EV11" i="245"/>
  <c r="EN11" i="245"/>
  <c r="EO11" i="245" s="1"/>
  <c r="EP11" i="245" s="1"/>
  <c r="EU13" i="245"/>
  <c r="EQ13" i="245"/>
  <c r="EM13" i="245"/>
  <c r="ET13" i="245"/>
  <c r="ES13" i="245"/>
  <c r="EK13" i="245"/>
  <c r="ER13" i="245"/>
  <c r="EN13" i="245"/>
  <c r="EO13" i="245" s="1"/>
  <c r="EP13" i="245" s="1"/>
  <c r="EL13" i="245"/>
  <c r="EV13" i="245"/>
  <c r="EJ13" i="245"/>
  <c r="EV15" i="245"/>
  <c r="ER15" i="245"/>
  <c r="EN15" i="245"/>
  <c r="EO15" i="245" s="1"/>
  <c r="EP15" i="245" s="1"/>
  <c r="EJ15" i="245"/>
  <c r="EU15" i="245"/>
  <c r="EQ15" i="245"/>
  <c r="EM15" i="245"/>
  <c r="ET15" i="245"/>
  <c r="EL15" i="245"/>
  <c r="ES15" i="245"/>
  <c r="EK15" i="245"/>
  <c r="EV17" i="245"/>
  <c r="ER17" i="245"/>
  <c r="EN17" i="245"/>
  <c r="EO17" i="245" s="1"/>
  <c r="EP17" i="245" s="1"/>
  <c r="EJ17" i="245"/>
  <c r="EU17" i="245"/>
  <c r="EQ17" i="245"/>
  <c r="EM17" i="245"/>
  <c r="ET17" i="245"/>
  <c r="EL17" i="245"/>
  <c r="ES17" i="245"/>
  <c r="EK17" i="245"/>
  <c r="EV19" i="245"/>
  <c r="ER19" i="245"/>
  <c r="EN19" i="245"/>
  <c r="EO19" i="245" s="1"/>
  <c r="EP19" i="245" s="1"/>
  <c r="EJ19" i="245"/>
  <c r="EU19" i="245"/>
  <c r="EQ19" i="245"/>
  <c r="EM19" i="245"/>
  <c r="ET19" i="245"/>
  <c r="EL19" i="245"/>
  <c r="ES19" i="245"/>
  <c r="EK19" i="245"/>
  <c r="EU21" i="245"/>
  <c r="ER21" i="245"/>
  <c r="EN21" i="245"/>
  <c r="EO21" i="245" s="1"/>
  <c r="EP21" i="245" s="1"/>
  <c r="EJ21" i="245"/>
  <c r="EV21" i="245"/>
  <c r="EQ21" i="245"/>
  <c r="EM21" i="245"/>
  <c r="ET21" i="245"/>
  <c r="EL21" i="245"/>
  <c r="ES21" i="245"/>
  <c r="EK21" i="245"/>
  <c r="ES22" i="245"/>
  <c r="EK22" i="245"/>
  <c r="ET22" i="245"/>
  <c r="EN22" i="245"/>
  <c r="EO22" i="245" s="1"/>
  <c r="EP22" i="245" s="1"/>
  <c r="ER22" i="245"/>
  <c r="EM22" i="245"/>
  <c r="EV22" i="245"/>
  <c r="EQ22" i="245"/>
  <c r="EL22" i="245"/>
  <c r="EU22" i="245"/>
  <c r="EJ22" i="245"/>
  <c r="EU23" i="245"/>
  <c r="EQ23" i="245"/>
  <c r="EM23" i="245"/>
  <c r="EV23" i="245"/>
  <c r="EK23" i="245"/>
  <c r="ET23" i="245"/>
  <c r="EJ23" i="245"/>
  <c r="ES23" i="245"/>
  <c r="EN23" i="245"/>
  <c r="EO23" i="245" s="1"/>
  <c r="EP23" i="245" s="1"/>
  <c r="ER23" i="245"/>
  <c r="EL23" i="245"/>
  <c r="ES25" i="245"/>
  <c r="EK25" i="245"/>
  <c r="EU25" i="245"/>
  <c r="EQ25" i="245"/>
  <c r="EM25" i="245"/>
  <c r="ER25" i="245"/>
  <c r="EJ25" i="245"/>
  <c r="EV25" i="245"/>
  <c r="EN25" i="245"/>
  <c r="EO25" i="245" s="1"/>
  <c r="EP25" i="245" s="1"/>
  <c r="ET25" i="245"/>
  <c r="EL25" i="245"/>
  <c r="FJ7" i="245"/>
  <c r="FB7" i="245"/>
  <c r="FM7" i="245"/>
  <c r="FI7" i="245"/>
  <c r="FE7" i="245"/>
  <c r="FF7" i="245" s="1"/>
  <c r="FG7" i="245" s="1"/>
  <c r="FA7" i="245"/>
  <c r="FL7" i="245"/>
  <c r="FH7" i="245"/>
  <c r="FD7" i="245"/>
  <c r="FK7" i="245"/>
  <c r="FC7" i="245"/>
  <c r="FJ9" i="245"/>
  <c r="FB9" i="245"/>
  <c r="FM9" i="245"/>
  <c r="FI9" i="245"/>
  <c r="FE9" i="245"/>
  <c r="FF9" i="245" s="1"/>
  <c r="FG9" i="245" s="1"/>
  <c r="FA9" i="245"/>
  <c r="FL9" i="245"/>
  <c r="FH9" i="245"/>
  <c r="FD9" i="245"/>
  <c r="FK9" i="245"/>
  <c r="FC9" i="245"/>
  <c r="FJ11" i="245"/>
  <c r="FB11" i="245"/>
  <c r="FM11" i="245"/>
  <c r="FI11" i="245"/>
  <c r="FE11" i="245"/>
  <c r="FF11" i="245" s="1"/>
  <c r="FG11" i="245" s="1"/>
  <c r="FA11" i="245"/>
  <c r="FL11" i="245"/>
  <c r="FH11" i="245"/>
  <c r="FD11" i="245"/>
  <c r="FK11" i="245"/>
  <c r="FC11" i="245"/>
  <c r="FJ13" i="245"/>
  <c r="FB13" i="245"/>
  <c r="FM13" i="245"/>
  <c r="FI13" i="245"/>
  <c r="FE13" i="245"/>
  <c r="FF13" i="245" s="1"/>
  <c r="FG13" i="245" s="1"/>
  <c r="FA13" i="245"/>
  <c r="FL13" i="245"/>
  <c r="FH13" i="245"/>
  <c r="FD13" i="245"/>
  <c r="FK13" i="245"/>
  <c r="FC13" i="245"/>
  <c r="FJ15" i="245"/>
  <c r="FB15" i="245"/>
  <c r="FM15" i="245"/>
  <c r="FI15" i="245"/>
  <c r="FE15" i="245"/>
  <c r="FF15" i="245" s="1"/>
  <c r="FG15" i="245" s="1"/>
  <c r="FA15" i="245"/>
  <c r="FL15" i="245"/>
  <c r="FH15" i="245"/>
  <c r="FD15" i="245"/>
  <c r="FK15" i="245"/>
  <c r="FC15" i="245"/>
  <c r="FJ17" i="245"/>
  <c r="FB17" i="245"/>
  <c r="FM17" i="245"/>
  <c r="FI17" i="245"/>
  <c r="FE17" i="245"/>
  <c r="FF17" i="245" s="1"/>
  <c r="FG17" i="245" s="1"/>
  <c r="FA17" i="245"/>
  <c r="FL17" i="245"/>
  <c r="FH17" i="245"/>
  <c r="FD17" i="245"/>
  <c r="FK17" i="245"/>
  <c r="FC17" i="245"/>
  <c r="FJ19" i="245"/>
  <c r="FB19" i="245"/>
  <c r="FM19" i="245"/>
  <c r="FI19" i="245"/>
  <c r="FE19" i="245"/>
  <c r="FF19" i="245" s="1"/>
  <c r="FG19" i="245" s="1"/>
  <c r="FA19" i="245"/>
  <c r="FL19" i="245"/>
  <c r="FH19" i="245"/>
  <c r="FD19" i="245"/>
  <c r="FK19" i="245"/>
  <c r="FC19" i="245"/>
  <c r="FJ21" i="245"/>
  <c r="FB21" i="245"/>
  <c r="FM21" i="245"/>
  <c r="FI21" i="245"/>
  <c r="FE21" i="245"/>
  <c r="FF21" i="245" s="1"/>
  <c r="FG21" i="245" s="1"/>
  <c r="FA21" i="245"/>
  <c r="FL21" i="245"/>
  <c r="FH21" i="245"/>
  <c r="FD21" i="245"/>
  <c r="FK21" i="245"/>
  <c r="FC21" i="245"/>
  <c r="FJ23" i="245"/>
  <c r="FB23" i="245"/>
  <c r="FM23" i="245"/>
  <c r="FI23" i="245"/>
  <c r="FE23" i="245"/>
  <c r="FF23" i="245" s="1"/>
  <c r="FG23" i="245" s="1"/>
  <c r="FA23" i="245"/>
  <c r="FL23" i="245"/>
  <c r="FH23" i="245"/>
  <c r="FD23" i="245"/>
  <c r="FK23" i="245"/>
  <c r="FC23" i="245"/>
  <c r="FJ25" i="245"/>
  <c r="FB25" i="245"/>
  <c r="FM25" i="245"/>
  <c r="FI25" i="245"/>
  <c r="FE25" i="245"/>
  <c r="FF25" i="245" s="1"/>
  <c r="FG25" i="245" s="1"/>
  <c r="FA25" i="245"/>
  <c r="FL25" i="245"/>
  <c r="FH25" i="245"/>
  <c r="FD25" i="245"/>
  <c r="FK25" i="245"/>
  <c r="FC25" i="245"/>
  <c r="EU24" i="245"/>
  <c r="EQ24" i="245"/>
  <c r="EM24" i="245"/>
  <c r="ES24" i="245"/>
  <c r="EK24" i="245"/>
  <c r="EV24" i="245"/>
  <c r="EN24" i="245"/>
  <c r="EO24" i="245" s="1"/>
  <c r="EP24" i="245" s="1"/>
  <c r="ET24" i="245"/>
  <c r="EL24" i="245"/>
  <c r="ER24" i="245"/>
  <c r="EJ24" i="245"/>
  <c r="FA5" i="245"/>
  <c r="FL5" i="245"/>
  <c r="FM5" i="245" s="1"/>
  <c r="FB5" i="245"/>
  <c r="FL6" i="245"/>
  <c r="FH6" i="245"/>
  <c r="FD6" i="245"/>
  <c r="FK6" i="245"/>
  <c r="FC6" i="245"/>
  <c r="FJ6" i="245"/>
  <c r="FB6" i="245"/>
  <c r="FM6" i="245"/>
  <c r="FI6" i="245"/>
  <c r="FE6" i="245"/>
  <c r="FF6" i="245" s="1"/>
  <c r="FG6" i="245" s="1"/>
  <c r="FA6" i="245"/>
  <c r="FL8" i="245"/>
  <c r="FH8" i="245"/>
  <c r="FD8" i="245"/>
  <c r="FK8" i="245"/>
  <c r="FC8" i="245"/>
  <c r="FJ8" i="245"/>
  <c r="FB8" i="245"/>
  <c r="FM8" i="245"/>
  <c r="FI8" i="245"/>
  <c r="FE8" i="245"/>
  <c r="FF8" i="245" s="1"/>
  <c r="FG8" i="245" s="1"/>
  <c r="FA8" i="245"/>
  <c r="FL10" i="245"/>
  <c r="FH10" i="245"/>
  <c r="FD10" i="245"/>
  <c r="FK10" i="245"/>
  <c r="FC10" i="245"/>
  <c r="FJ10" i="245"/>
  <c r="FB10" i="245"/>
  <c r="FM10" i="245"/>
  <c r="FI10" i="245"/>
  <c r="FE10" i="245"/>
  <c r="FF10" i="245" s="1"/>
  <c r="FG10" i="245" s="1"/>
  <c r="FA10" i="245"/>
  <c r="FL12" i="245"/>
  <c r="FH12" i="245"/>
  <c r="FD12" i="245"/>
  <c r="FK12" i="245"/>
  <c r="FC12" i="245"/>
  <c r="FJ12" i="245"/>
  <c r="FB12" i="245"/>
  <c r="FM12" i="245"/>
  <c r="FI12" i="245"/>
  <c r="FE12" i="245"/>
  <c r="FF12" i="245" s="1"/>
  <c r="FG12" i="245" s="1"/>
  <c r="FA12" i="245"/>
  <c r="FL14" i="245"/>
  <c r="FH14" i="245"/>
  <c r="FD14" i="245"/>
  <c r="FK14" i="245"/>
  <c r="FC14" i="245"/>
  <c r="FJ14" i="245"/>
  <c r="FB14" i="245"/>
  <c r="FM14" i="245"/>
  <c r="FI14" i="245"/>
  <c r="FE14" i="245"/>
  <c r="FF14" i="245" s="1"/>
  <c r="FG14" i="245" s="1"/>
  <c r="FA14" i="245"/>
  <c r="FL16" i="245"/>
  <c r="FH16" i="245"/>
  <c r="FD16" i="245"/>
  <c r="FK16" i="245"/>
  <c r="FC16" i="245"/>
  <c r="FJ16" i="245"/>
  <c r="FB16" i="245"/>
  <c r="FM16" i="245"/>
  <c r="FI16" i="245"/>
  <c r="FE16" i="245"/>
  <c r="FF16" i="245" s="1"/>
  <c r="FG16" i="245" s="1"/>
  <c r="FA16" i="245"/>
  <c r="FL18" i="245"/>
  <c r="FH18" i="245"/>
  <c r="FD18" i="245"/>
  <c r="FK18" i="245"/>
  <c r="FC18" i="245"/>
  <c r="FJ18" i="245"/>
  <c r="FB18" i="245"/>
  <c r="FM18" i="245"/>
  <c r="FI18" i="245"/>
  <c r="FE18" i="245"/>
  <c r="FF18" i="245" s="1"/>
  <c r="FG18" i="245" s="1"/>
  <c r="FA18" i="245"/>
  <c r="FL20" i="245"/>
  <c r="FH20" i="245"/>
  <c r="FD20" i="245"/>
  <c r="FK20" i="245"/>
  <c r="FC20" i="245"/>
  <c r="FJ20" i="245"/>
  <c r="FB20" i="245"/>
  <c r="FM20" i="245"/>
  <c r="FI20" i="245"/>
  <c r="FE20" i="245"/>
  <c r="FF20" i="245" s="1"/>
  <c r="FG20" i="245" s="1"/>
  <c r="FA20" i="245"/>
  <c r="FL22" i="245"/>
  <c r="FH22" i="245"/>
  <c r="FD22" i="245"/>
  <c r="FK22" i="245"/>
  <c r="FC22" i="245"/>
  <c r="FJ22" i="245"/>
  <c r="FB22" i="245"/>
  <c r="FM22" i="245"/>
  <c r="FI22" i="245"/>
  <c r="FE22" i="245"/>
  <c r="FF22" i="245" s="1"/>
  <c r="FG22" i="245" s="1"/>
  <c r="FA22" i="245"/>
  <c r="FL24" i="245"/>
  <c r="FH24" i="245"/>
  <c r="FD24" i="245"/>
  <c r="FK24" i="245"/>
  <c r="FC24" i="245"/>
  <c r="FJ24" i="245"/>
  <c r="FB24" i="245"/>
  <c r="FM24" i="245"/>
  <c r="FI24" i="245"/>
  <c r="FE24" i="245"/>
  <c r="FF24" i="245" s="1"/>
  <c r="FG24" i="245" s="1"/>
  <c r="FA24" i="245"/>
  <c r="D23" i="231"/>
  <c r="BY3" i="245"/>
  <c r="I3" i="245"/>
  <c r="Z3" i="245"/>
  <c r="AQ3" i="245"/>
  <c r="BH3" i="245"/>
  <c r="AF9" i="245" l="1"/>
  <c r="AF8" i="245" s="1"/>
  <c r="AF7" i="245" s="1"/>
  <c r="AF6" i="245" s="1"/>
  <c r="CE8" i="245"/>
  <c r="P8" i="245"/>
  <c r="O6" i="245"/>
  <c r="P6" i="245" s="1"/>
  <c r="BN7" i="245"/>
  <c r="BN6" i="245" s="1"/>
  <c r="BN5" i="245" s="1"/>
  <c r="BO5" i="245" s="1"/>
  <c r="AW8" i="245"/>
  <c r="AW7" i="245" s="1"/>
  <c r="AW6" i="245" s="1"/>
  <c r="AW5" i="245" s="1"/>
  <c r="AX5" i="245" s="1"/>
  <c r="AG11" i="245"/>
  <c r="AP7" i="245"/>
  <c r="AQ7" i="245" s="1"/>
  <c r="AR7" i="245" s="1"/>
  <c r="CF10" i="245"/>
  <c r="BO9" i="245"/>
  <c r="N7" i="245"/>
  <c r="P7" i="245" s="1"/>
  <c r="Y7" i="245"/>
  <c r="Z7" i="245" s="1"/>
  <c r="AA7" i="245" s="1"/>
  <c r="AX11" i="245"/>
  <c r="CE7" i="245"/>
  <c r="CE6" i="245" s="1"/>
  <c r="CE5" i="245" s="1"/>
  <c r="CF5" i="245" s="1"/>
  <c r="B1" i="245"/>
  <c r="AE7" i="245"/>
  <c r="AV7" i="245"/>
  <c r="BM7" i="245"/>
  <c r="BX7" i="245"/>
  <c r="BY7" i="245" s="1"/>
  <c r="BG7" i="245"/>
  <c r="BH7" i="245" s="1"/>
  <c r="H7" i="245"/>
  <c r="I7" i="245" s="1"/>
  <c r="CD7" i="245"/>
  <c r="BO6" i="245" l="1"/>
  <c r="AP8" i="245"/>
  <c r="AQ8" i="245" s="1"/>
  <c r="AP9" i="245" s="1"/>
  <c r="AQ9" i="245" s="1"/>
  <c r="AP10" i="245" s="1"/>
  <c r="AQ10" i="245" s="1"/>
  <c r="AF5" i="245"/>
  <c r="AG5" i="245" s="1"/>
  <c r="AG6" i="245"/>
  <c r="O5" i="245"/>
  <c r="P5" i="245" s="1"/>
  <c r="AX6" i="245"/>
  <c r="Y8" i="245"/>
  <c r="Z8" i="245" s="1"/>
  <c r="Y9" i="245" s="1"/>
  <c r="Z9" i="245" s="1"/>
  <c r="CF6" i="245"/>
  <c r="BX8" i="245"/>
  <c r="BY8" i="245" s="1"/>
  <c r="BZ7" i="245"/>
  <c r="AV8" i="245"/>
  <c r="AX7" i="245"/>
  <c r="CF7" i="245"/>
  <c r="CD8" i="245"/>
  <c r="J7" i="245"/>
  <c r="H8" i="245"/>
  <c r="I8" i="245" s="1"/>
  <c r="J8" i="245" s="1"/>
  <c r="AE8" i="245"/>
  <c r="AG7" i="245"/>
  <c r="BI7" i="245"/>
  <c r="BG8" i="245"/>
  <c r="BH8" i="245" s="1"/>
  <c r="BO7" i="245"/>
  <c r="BM8" i="245"/>
  <c r="BO8" i="245" s="1"/>
  <c r="AA8" i="245" l="1"/>
  <c r="AR9" i="245"/>
  <c r="AR8" i="245"/>
  <c r="AR10" i="245"/>
  <c r="AP11" i="245"/>
  <c r="AQ11" i="245" s="1"/>
  <c r="AR11" i="245" s="1"/>
  <c r="AX8" i="245"/>
  <c r="AV9" i="245"/>
  <c r="AA9" i="245"/>
  <c r="Y10" i="245"/>
  <c r="Z10" i="245" s="1"/>
  <c r="CD9" i="245"/>
  <c r="CF9" i="245" s="1"/>
  <c r="CF8" i="245"/>
  <c r="BI8" i="245"/>
  <c r="BG9" i="245"/>
  <c r="BH9" i="245" s="1"/>
  <c r="BI9" i="245" s="1"/>
  <c r="AE9" i="245"/>
  <c r="AG8" i="245"/>
  <c r="BZ8" i="245"/>
  <c r="BX9" i="245"/>
  <c r="BY9" i="245" s="1"/>
  <c r="AV10" i="245" l="1"/>
  <c r="AX10" i="245" s="1"/>
  <c r="AX9" i="245"/>
  <c r="AA10" i="245"/>
  <c r="Y11" i="245"/>
  <c r="Z11" i="245" s="1"/>
  <c r="AA11" i="245" s="1"/>
  <c r="AG9" i="245"/>
  <c r="AE10" i="245"/>
  <c r="AG10" i="245" s="1"/>
  <c r="BZ9" i="245"/>
  <c r="BX10" i="245"/>
  <c r="BY10" i="245" l="1"/>
  <c r="BZ10" i="245"/>
</calcChain>
</file>

<file path=xl/sharedStrings.xml><?xml version="1.0" encoding="utf-8"?>
<sst xmlns="http://schemas.openxmlformats.org/spreadsheetml/2006/main" count="1179" uniqueCount="123">
  <si>
    <t>Sequence</t>
  </si>
  <si>
    <t>Parameter</t>
  </si>
  <si>
    <t>Value</t>
  </si>
  <si>
    <t>Remarks</t>
  </si>
  <si>
    <t>0.Optional - GIS License</t>
  </si>
  <si>
    <t>Bing Maps Key</t>
  </si>
  <si>
    <t>1.Locations</t>
  </si>
  <si>
    <t>Number of customers</t>
  </si>
  <si>
    <t>2.Distances</t>
  </si>
  <si>
    <t>Bing Maps route type</t>
  </si>
  <si>
    <t>Average vehicle speed</t>
  </si>
  <si>
    <t>3.Vehicles</t>
  </si>
  <si>
    <t>Number of vehicle types</t>
  </si>
  <si>
    <t>4.Solution</t>
  </si>
  <si>
    <t>Yes</t>
  </si>
  <si>
    <t>Time window type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</si>
  <si>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</si>
  <si>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</si>
  <si>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</si>
  <si>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</si>
  <si>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</si>
  <si>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</si>
  <si>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[5,200]</t>
  </si>
  <si>
    <t>Number of depots</t>
  </si>
  <si>
    <t>[1,20]</t>
  </si>
  <si>
    <t>No</t>
  </si>
  <si>
    <t>Backhauls?</t>
  </si>
  <si>
    <t>Show progress on the status bar?</t>
  </si>
  <si>
    <t>If activated, delivery locations must be visited before pickup locations</t>
  </si>
  <si>
    <t>Bing Maps</t>
  </si>
  <si>
    <t>You can get a free trial key at https://www.bingmapsportal.com/</t>
  </si>
  <si>
    <t>Recommendation: Use 'postcode, country' format for addresses</t>
  </si>
  <si>
    <t>Recommendation: Use 'Fastest'</t>
  </si>
  <si>
    <t>Do the vehicles return to their depot(s)?</t>
  </si>
  <si>
    <t>Yes - only once at the end</t>
  </si>
  <si>
    <t>Distance computation method</t>
  </si>
  <si>
    <t>Duration computation method</t>
  </si>
  <si>
    <t>Location IDs</t>
  </si>
  <si>
    <t>Euclidian distances</t>
  </si>
  <si>
    <t>Shortest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</si>
  <si>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</si>
  <si>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</si>
  <si>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</si>
  <si>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</si>
  <si>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</si>
  <si>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</si>
  <si>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</si>
  <si>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</si>
  <si>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</si>
  <si>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Pickup amount</t>
  </si>
  <si>
    <t>Delivery amount</t>
  </si>
  <si>
    <t>Profit</t>
  </si>
  <si>
    <t>Depot</t>
  </si>
  <si>
    <t>Starting location</t>
  </si>
  <si>
    <t>Customer 1</t>
  </si>
  <si>
    <t>Must be visited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</si>
  <si>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</si>
  <si>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</si>
  <si>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</si>
  <si>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</si>
  <si>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</si>
  <si>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</si>
  <si>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</si>
  <si>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</si>
  <si>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</si>
  <si>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</si>
  <si>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</si>
  <si>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</si>
  <si>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</si>
  <si>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</si>
  <si>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</si>
  <si>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</si>
  <si>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</si>
  <si>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</si>
  <si>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From</t>
  </si>
  <si>
    <t>To</t>
  </si>
  <si>
    <t>Distance</t>
  </si>
  <si>
    <t>Duration</t>
  </si>
  <si>
    <t>Method:</t>
  </si>
  <si>
    <t>Starting depot</t>
  </si>
  <si>
    <t>Vehicle type</t>
  </si>
  <si>
    <t>Capacity</t>
  </si>
  <si>
    <t>Fixed cost per trip</t>
  </si>
  <si>
    <t>Cost per unit distance</t>
  </si>
  <si>
    <t>Duration multiplier</t>
  </si>
  <si>
    <t>Distance limit</t>
  </si>
  <si>
    <t>Work start time</t>
  </si>
  <si>
    <t>Driving time limit</t>
  </si>
  <si>
    <t>Working time limit</t>
  </si>
  <si>
    <t>Return depot</t>
  </si>
  <si>
    <t>Destination ID</t>
  </si>
  <si>
    <t>Number of vehicles</t>
  </si>
  <si>
    <t>T1</t>
  </si>
  <si>
    <t>Total net profit:</t>
  </si>
  <si>
    <t>Stop count</t>
  </si>
  <si>
    <t>Location name</t>
  </si>
  <si>
    <t>Distance travelled</t>
  </si>
  <si>
    <t>Driving time</t>
  </si>
  <si>
    <t>Arrival time</t>
  </si>
  <si>
    <t>Departure time</t>
  </si>
  <si>
    <t>Working time</t>
  </si>
  <si>
    <t>Profit collected</t>
  </si>
  <si>
    <t>Cumulative pickup</t>
  </si>
  <si>
    <t>Subtractive delivery</t>
  </si>
  <si>
    <t>Load</t>
  </si>
  <si>
    <t>Vehicle:</t>
  </si>
  <si>
    <t>V1</t>
  </si>
  <si>
    <t>Stops:</t>
  </si>
  <si>
    <t>Net profit:</t>
  </si>
  <si>
    <t>V2</t>
  </si>
  <si>
    <t>V3</t>
  </si>
  <si>
    <t>V4</t>
  </si>
  <si>
    <t>V5</t>
  </si>
  <si>
    <t>Detected reasons of infeasibility</t>
  </si>
  <si>
    <t>Soft</t>
  </si>
  <si>
    <t>Euclidian distances / Average vehicle speed</t>
  </si>
  <si>
    <t>V6</t>
  </si>
  <si>
    <t>V7</t>
  </si>
  <si>
    <t>V8</t>
  </si>
  <si>
    <t>V9</t>
  </si>
  <si>
    <t>V10</t>
  </si>
  <si>
    <t>Vehicle #</t>
  </si>
  <si>
    <t>Cuml. Distance travelled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</si>
</sst>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hh:mm"/>
    <numFmt numFmtId="166" formatCode="[h]:mm"/>
  </numFmts>
  <fonts count="2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charset val="16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charset val="16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indexed="57"/>
        <bgColor indexed="64"/>
      </patternFill>
    </fill>
    <fill>
      <patternFill patternType="solid">
        <fgColor indexed="57" tint="-1.9989623706778162E-2"/>
        <bgColor indexed="64"/>
      </patternFill>
    </fill>
    <fill>
      <patternFill patternType="solid">
        <fgColor indexed="57" tint="1.9989623706778162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 tint="-1.9989623706778162E-2"/>
        <bgColor indexed="64"/>
      </patternFill>
    </fill>
    <fill>
      <patternFill patternType="solid">
        <fgColor indexed="40" tint="1.9989623706778162E-2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23"/>
      </right>
      <top/>
      <bottom/>
      <diagonal/>
    </border>
    <border>
      <left/>
      <right style="thin">
        <color indexed="23"/>
      </right>
      <top style="thick">
        <color indexed="9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0" applyNumberFormat="0" applyBorder="0" applyAlignment="0" applyProtection="0"/>
    <xf numFmtId="0" fontId="7" fillId="28" borderId="3" applyNumberFormat="0" applyAlignment="0" applyProtection="0"/>
    <xf numFmtId="0" fontId="8" fillId="29" borderId="4" applyNumberFormat="0" applyAlignment="0" applyProtection="0"/>
    <xf numFmtId="0" fontId="9" fillId="0" borderId="0" applyNumberFormat="0" applyFill="0" applyBorder="0" applyAlignment="0" applyProtection="0"/>
    <xf numFmtId="0" fontId="10" fillId="30" borderId="0" applyNumberFormat="0" applyBorder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3" fillId="0" borderId="0" applyNumberFormat="0" applyFill="0" applyBorder="0" applyAlignment="0" applyProtection="0"/>
    <xf numFmtId="0" fontId="14" fillId="31" borderId="3" applyNumberFormat="0" applyAlignment="0" applyProtection="0"/>
    <xf numFmtId="0" fontId="15" fillId="0" borderId="8" applyNumberFormat="0" applyFill="0" applyAlignment="0" applyProtection="0"/>
    <xf numFmtId="0" fontId="16" fillId="32" borderId="0" applyNumberFormat="0" applyBorder="0" applyAlignment="0" applyProtection="0"/>
    <xf numFmtId="0" fontId="4" fillId="0" borderId="0"/>
    <xf numFmtId="0" fontId="1" fillId="33" borderId="9" applyNumberFormat="0" applyFont="0" applyAlignment="0" applyProtection="0"/>
    <xf numFmtId="0" fontId="17" fillId="28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0" borderId="0" applyNumberFormat="0" applyFill="0" applyBorder="0" applyAlignment="0" applyProtection="0"/>
  </cellStyleXfs>
  <cellXfs count="84">
    <xf numFmtId="0" fontId="0" fillId="0" borderId="0" xfId="0"/>
    <xf numFmtId="0" fontId="2" fillId="2" borderId="0" xfId="0" applyFont="1" applyFill="1" applyBorder="1"/>
    <xf numFmtId="0" fontId="0" fillId="0" borderId="1" xfId="0" applyBorder="1"/>
    <xf numFmtId="0" fontId="0" fillId="0" borderId="2" xfId="0" applyBorder="1"/>
    <xf numFmtId="0" fontId="21" fillId="0" borderId="1" xfId="0" applyFont="1" applyBorder="1"/>
    <xf numFmtId="0" fontId="21" fillId="0" borderId="2" xfId="0" applyFont="1" applyBorder="1"/>
    <xf numFmtId="0" fontId="23" fillId="0" borderId="0" xfId="0" applyFont="1"/>
    <xf numFmtId="0" fontId="22" fillId="34" borderId="2" xfId="0" applyFont="1" applyFill="1" applyBorder="1"/>
    <xf numFmtId="0" fontId="22" fillId="34" borderId="1" xfId="0" applyFont="1" applyFill="1" applyBorder="1"/>
    <xf numFmtId="0" fontId="24" fillId="0" borderId="0" xfId="0" applyFont="1"/>
    <xf numFmtId="0" fontId="22" fillId="2" borderId="13" xfId="0" applyFont="1" applyFill="1" applyBorder="1"/>
    <xf numFmtId="165" fontId="24" fillId="0" borderId="0" xfId="0" applyNumberFormat="1" applyFont="1"/>
    <xf numFmtId="0" fontId="22" fillId="2" borderId="0" xfId="0" applyFont="1" applyFill="1" applyBorder="1"/>
    <xf numFmtId="0" fontId="22" fillId="2" borderId="14" xfId="0" applyFont="1" applyFill="1" applyBorder="1"/>
    <xf numFmtId="0" fontId="22" fillId="2" borderId="1" xfId="0" applyFont="1" applyFill="1" applyBorder="1"/>
    <xf numFmtId="166" fontId="22" fillId="35" borderId="1" xfId="0" applyNumberFormat="1" applyFont="1" applyFill="1" applyBorder="1"/>
    <xf numFmtId="0" fontId="22" fillId="2" borderId="15" xfId="0" applyFont="1" applyFill="1" applyBorder="1"/>
    <xf numFmtId="166" fontId="22" fillId="35" borderId="15" xfId="0" applyNumberFormat="1" applyFont="1" applyFill="1" applyBorder="1"/>
    <xf numFmtId="166" fontId="22" fillId="36" borderId="15" xfId="0" applyNumberFormat="1" applyFont="1" applyFill="1" applyBorder="1"/>
    <xf numFmtId="0" fontId="24" fillId="0" borderId="17" xfId="0" applyFont="1" applyBorder="1"/>
    <xf numFmtId="0" fontId="22" fillId="35" borderId="17" xfId="0" applyFont="1" applyFill="1" applyBorder="1"/>
    <xf numFmtId="0" fontId="22" fillId="36" borderId="18" xfId="0" applyFont="1" applyFill="1" applyBorder="1"/>
    <xf numFmtId="0" fontId="22" fillId="35" borderId="19" xfId="0" applyFont="1" applyFill="1" applyBorder="1"/>
    <xf numFmtId="0" fontId="22" fillId="36" borderId="19" xfId="0" applyFont="1" applyFill="1" applyBorder="1"/>
    <xf numFmtId="0" fontId="22" fillId="36" borderId="20" xfId="0" applyFont="1" applyFill="1" applyBorder="1"/>
    <xf numFmtId="164" fontId="22" fillId="35" borderId="17" xfId="0" applyNumberFormat="1" applyFont="1" applyFill="1" applyBorder="1"/>
    <xf numFmtId="164" fontId="22" fillId="36" borderId="18" xfId="0" applyNumberFormat="1" applyFont="1" applyFill="1" applyBorder="1"/>
    <xf numFmtId="164" fontId="22" fillId="35" borderId="19" xfId="0" applyNumberFormat="1" applyFont="1" applyFill="1" applyBorder="1"/>
    <xf numFmtId="164" fontId="22" fillId="36" borderId="19" xfId="0" applyNumberFormat="1" applyFont="1" applyFill="1" applyBorder="1"/>
    <xf numFmtId="164" fontId="22" fillId="36" borderId="20" xfId="0" applyNumberFormat="1" applyFont="1" applyFill="1" applyBorder="1"/>
    <xf numFmtId="165" fontId="22" fillId="35" borderId="17" xfId="0" applyNumberFormat="1" applyFont="1" applyFill="1" applyBorder="1"/>
    <xf numFmtId="165" fontId="22" fillId="36" borderId="18" xfId="0" applyNumberFormat="1" applyFont="1" applyFill="1" applyBorder="1"/>
    <xf numFmtId="165" fontId="22" fillId="35" borderId="19" xfId="0" applyNumberFormat="1" applyFont="1" applyFill="1" applyBorder="1"/>
    <xf numFmtId="165" fontId="22" fillId="36" borderId="19" xfId="0" applyNumberFormat="1" applyFont="1" applyFill="1" applyBorder="1"/>
    <xf numFmtId="165" fontId="22" fillId="36" borderId="20" xfId="0" applyNumberFormat="1" applyFont="1" applyFill="1" applyBorder="1"/>
    <xf numFmtId="166" fontId="22" fillId="36" borderId="18" xfId="0" applyNumberFormat="1" applyFont="1" applyFill="1" applyBorder="1"/>
    <xf numFmtId="166" fontId="22" fillId="35" borderId="19" xfId="0" applyNumberFormat="1" applyFont="1" applyFill="1" applyBorder="1"/>
    <xf numFmtId="166" fontId="22" fillId="36" borderId="19" xfId="0" applyNumberFormat="1" applyFont="1" applyFill="1" applyBorder="1"/>
    <xf numFmtId="166" fontId="22" fillId="36" borderId="20" xfId="0" applyNumberFormat="1" applyFont="1" applyFill="1" applyBorder="1"/>
    <xf numFmtId="0" fontId="22" fillId="2" borderId="17" xfId="0" applyFont="1" applyFill="1" applyBorder="1"/>
    <xf numFmtId="166" fontId="22" fillId="2" borderId="17" xfId="0" applyNumberFormat="1" applyFont="1" applyFill="1" applyBorder="1"/>
    <xf numFmtId="2" fontId="22" fillId="36" borderId="0" xfId="0" applyNumberFormat="1" applyFont="1" applyFill="1" applyBorder="1"/>
    <xf numFmtId="166" fontId="22" fillId="36" borderId="0" xfId="0" applyNumberFormat="1" applyFont="1" applyFill="1" applyBorder="1"/>
    <xf numFmtId="2" fontId="22" fillId="35" borderId="1" xfId="0" applyNumberFormat="1" applyFont="1" applyFill="1" applyBorder="1"/>
    <xf numFmtId="2" fontId="22" fillId="35" borderId="15" xfId="0" applyNumberFormat="1" applyFont="1" applyFill="1" applyBorder="1"/>
    <xf numFmtId="2" fontId="22" fillId="36" borderId="15" xfId="0" applyNumberFormat="1" applyFont="1" applyFill="1" applyBorder="1"/>
    <xf numFmtId="0" fontId="22" fillId="34" borderId="13" xfId="0" applyFont="1" applyFill="1" applyBorder="1"/>
    <xf numFmtId="2" fontId="22" fillId="34" borderId="13" xfId="0" applyNumberFormat="1" applyFont="1" applyFill="1" applyBorder="1"/>
    <xf numFmtId="165" fontId="22" fillId="34" borderId="13" xfId="0" applyNumberFormat="1" applyFont="1" applyFill="1" applyBorder="1"/>
    <xf numFmtId="166" fontId="22" fillId="34" borderId="13" xfId="0" applyNumberFormat="1" applyFont="1" applyFill="1" applyBorder="1"/>
    <xf numFmtId="0" fontId="25" fillId="37" borderId="13" xfId="0" applyFont="1" applyFill="1" applyBorder="1"/>
    <xf numFmtId="0" fontId="25" fillId="37" borderId="0" xfId="0" applyFont="1" applyFill="1" applyBorder="1"/>
    <xf numFmtId="2" fontId="25" fillId="37" borderId="0" xfId="0" applyNumberFormat="1" applyFont="1" applyFill="1" applyBorder="1"/>
    <xf numFmtId="166" fontId="25" fillId="37" borderId="0" xfId="0" applyNumberFormat="1" applyFont="1" applyFill="1" applyBorder="1"/>
    <xf numFmtId="165" fontId="25" fillId="37" borderId="0" xfId="0" applyNumberFormat="1" applyFont="1" applyFill="1" applyBorder="1"/>
    <xf numFmtId="0" fontId="25" fillId="37" borderId="1" xfId="0" applyFont="1" applyFill="1" applyBorder="1"/>
    <xf numFmtId="2" fontId="25" fillId="37" borderId="1" xfId="0" applyNumberFormat="1" applyFont="1" applyFill="1" applyBorder="1"/>
    <xf numFmtId="166" fontId="25" fillId="37" borderId="1" xfId="0" applyNumberFormat="1" applyFont="1" applyFill="1" applyBorder="1"/>
    <xf numFmtId="165" fontId="25" fillId="37" borderId="1" xfId="0" applyNumberFormat="1" applyFont="1" applyFill="1" applyBorder="1"/>
    <xf numFmtId="0" fontId="25" fillId="38" borderId="15" xfId="0" applyFont="1" applyFill="1" applyBorder="1"/>
    <xf numFmtId="0" fontId="25" fillId="37" borderId="15" xfId="0" applyFont="1" applyFill="1" applyBorder="1"/>
    <xf numFmtId="2" fontId="25" fillId="37" borderId="15" xfId="0" applyNumberFormat="1" applyFont="1" applyFill="1" applyBorder="1"/>
    <xf numFmtId="166" fontId="25" fillId="37" borderId="15" xfId="0" applyNumberFormat="1" applyFont="1" applyFill="1" applyBorder="1"/>
    <xf numFmtId="165" fontId="25" fillId="37" borderId="15" xfId="0" applyNumberFormat="1" applyFont="1" applyFill="1" applyBorder="1"/>
    <xf numFmtId="0" fontId="25" fillId="39" borderId="1" xfId="0" applyFont="1" applyFill="1" applyBorder="1"/>
    <xf numFmtId="0" fontId="25" fillId="39" borderId="15" xfId="0" applyFont="1" applyFill="1" applyBorder="1"/>
    <xf numFmtId="2" fontId="26" fillId="37" borderId="0" xfId="0" applyNumberFormat="1" applyFont="1" applyFill="1"/>
    <xf numFmtId="0" fontId="24" fillId="37" borderId="0" xfId="0" applyFont="1" applyFill="1"/>
    <xf numFmtId="2" fontId="24" fillId="37" borderId="0" xfId="0" applyNumberFormat="1" applyFont="1" applyFill="1"/>
    <xf numFmtId="0" fontId="24" fillId="0" borderId="0" xfId="0" applyFont="1" applyFill="1"/>
    <xf numFmtId="0" fontId="24" fillId="0" borderId="21" xfId="0" applyFont="1" applyBorder="1" applyAlignment="1">
      <alignment horizontal="center" vertical="center"/>
    </xf>
    <xf numFmtId="0" fontId="0" fillId="40" borderId="22" xfId="0" applyFill="1" applyBorder="1"/>
    <xf numFmtId="0" fontId="0" fillId="0" borderId="22" xfId="0" applyBorder="1"/>
    <xf numFmtId="0" fontId="0" fillId="0" borderId="23" xfId="0" applyBorder="1"/>
    <xf numFmtId="0" fontId="24" fillId="0" borderId="24" xfId="0" applyFont="1" applyBorder="1" applyAlignment="1">
      <alignment horizontal="center" vertical="center"/>
    </xf>
    <xf numFmtId="0" fontId="0" fillId="0" borderId="0" xfId="0" applyBorder="1"/>
    <xf numFmtId="0" fontId="0" fillId="0" borderId="16" xfId="0" applyBorder="1"/>
    <xf numFmtId="0" fontId="24" fillId="0" borderId="25" xfId="0" applyFont="1" applyBorder="1" applyAlignment="1">
      <alignment horizontal="center" vertical="center"/>
    </xf>
    <xf numFmtId="0" fontId="0" fillId="40" borderId="12" xfId="0" applyFill="1" applyBorder="1"/>
    <xf numFmtId="0" fontId="0" fillId="0" borderId="12" xfId="0" applyBorder="1"/>
    <xf numFmtId="0" fontId="0" fillId="0" borderId="26" xfId="0" applyBorder="1"/>
    <xf numFmtId="0" fontId="24" fillId="0" borderId="27" xfId="0" applyFont="1" applyBorder="1"/>
    <xf numFmtId="0" fontId="24" fillId="0" borderId="28" xfId="0" applyFont="1" applyBorder="1"/>
    <xf numFmtId="0" fontId="24" fillId="0" borderId="29" xfId="0" applyFont="1" applyBorder="1"/>
  </cellXfs>
  <cellStyles count="43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rmal 2" xfId="37" xr:uid="{00000000-0005-0000-0000-000025000000}"/>
    <cellStyle name="Note 2" xfId="38" xr:uid="{00000000-0005-0000-0000-000026000000}"/>
    <cellStyle name="Output 2" xfId="39" xr:uid="{00000000-0005-0000-0000-000027000000}"/>
    <cellStyle name="Title" xfId="40" builtinId="15" customBuiltin="1"/>
    <cellStyle name="Total 2" xfId="41" xr:uid="{00000000-0005-0000-0000-000029000000}"/>
    <cellStyle name="Warning Text 2" xfId="42" xr:uid="{00000000-0005-0000-0000-00002A000000}"/>
  </cellStyles>
  <dxfs count="861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3"/>
  <sheetViews>
    <sheetView zoomScaleNormal="100" workbookViewId="0">
      <selection activeCell="C8" sqref="C8"/>
    </sheetView>
  </sheetViews>
  <sheetFormatPr defaultRowHeight="14.4" x14ac:dyDescent="0.3"/>
  <cols>
    <col min="1" max="1" width="22.21875" bestFit="1" customWidth="1"/>
    <col min="2" max="2" width="33.88671875" bestFit="1" customWidth="1"/>
    <col min="3" max="3" width="27.5546875" bestFit="1" customWidth="1"/>
    <col min="4" max="4" width="58.6640625" bestFit="1" customWidth="1"/>
  </cols>
  <sheetData>
    <row r="1" spans="1:4" s="6" customFormat="1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4" t="s">
        <v>4</v>
      </c>
      <c r="B2" s="2" t="s">
        <v>5</v>
      </c>
      <c r="C2" s="8"/>
      <c r="D2" s="2" t="s">
        <v>30</v>
      </c>
    </row>
    <row r="4" spans="1:4" x14ac:dyDescent="0.3">
      <c r="A4" s="5" t="s">
        <v>6</v>
      </c>
      <c r="B4" s="3" t="s">
        <v>23</v>
      </c>
      <c r="C4" s="7">
        <v>1</v>
      </c>
      <c r="D4" s="3" t="s">
        <v>24</v>
      </c>
    </row>
    <row r="5" spans="1:4" x14ac:dyDescent="0.3">
      <c r="A5" s="2"/>
      <c r="B5" s="2" t="s">
        <v>7</v>
      </c>
      <c r="C5" s="8">
        <v>19</v>
      </c>
      <c r="D5" s="2" t="s">
        <v>22</v>
      </c>
    </row>
    <row r="7" spans="1:4" x14ac:dyDescent="0.3">
      <c r="A7" s="5" t="s">
        <v>8</v>
      </c>
      <c r="B7" s="3" t="s">
        <v>35</v>
      </c>
      <c r="C7" s="7" t="s">
        <v>38</v>
      </c>
      <c r="D7" s="3" t="s">
        <v>31</v>
      </c>
    </row>
    <row r="8" spans="1:4" x14ac:dyDescent="0.3">
      <c r="A8" s="2"/>
      <c r="B8" s="2" t="s">
        <v>36</v>
      </c>
      <c r="C8" s="8" t="s">
        <v>10</v>
      </c>
      <c r="D8" s="2"/>
    </row>
    <row r="9" spans="1:4" x14ac:dyDescent="0.3">
      <c r="A9" s="2"/>
      <c r="B9" s="2" t="s">
        <v>9</v>
      </c>
      <c r="C9" s="8" t="s">
        <v>39</v>
      </c>
      <c r="D9" s="2" t="s">
        <v>32</v>
      </c>
    </row>
    <row r="10" spans="1:4" x14ac:dyDescent="0.3">
      <c r="A10" s="2"/>
      <c r="B10" s="2" t="s">
        <v>10</v>
      </c>
      <c r="C10" s="8">
        <v>70</v>
      </c>
      <c r="D10" s="2"/>
    </row>
    <row r="12" spans="1:4" x14ac:dyDescent="0.3">
      <c r="A12" s="5" t="s">
        <v>11</v>
      </c>
      <c r="B12" s="3" t="s">
        <v>12</v>
      </c>
      <c r="C12" s="7">
        <v>1</v>
      </c>
      <c r="D12" s="3"/>
    </row>
    <row r="14" spans="1:4" x14ac:dyDescent="0.3">
      <c r="A14" s="5" t="s">
        <v>13</v>
      </c>
      <c r="B14" s="3" t="s">
        <v>33</v>
      </c>
      <c r="C14" s="7" t="s">
        <v>34</v>
      </c>
      <c r="D14" s="3"/>
    </row>
    <row r="15" spans="1:4" x14ac:dyDescent="0.3">
      <c r="A15" s="2"/>
      <c r="B15" s="2" t="s">
        <v>15</v>
      </c>
      <c r="C15" s="8" t="s">
        <v>114</v>
      </c>
      <c r="D15" s="2"/>
    </row>
    <row r="16" spans="1:4" x14ac:dyDescent="0.3">
      <c r="A16" s="2"/>
      <c r="B16" s="2" t="s">
        <v>26</v>
      </c>
      <c r="C16" s="8" t="s">
        <v>25</v>
      </c>
      <c r="D16" s="2" t="s">
        <v>28</v>
      </c>
    </row>
    <row r="18" spans="1:4" x14ac:dyDescent="0.3">
      <c r="A18" s="5" t="s">
        <v>16</v>
      </c>
      <c r="B18" s="3" t="s">
        <v>17</v>
      </c>
      <c r="C18" s="7" t="s">
        <v>29</v>
      </c>
      <c r="D18" s="3"/>
    </row>
    <row r="19" spans="1:4" x14ac:dyDescent="0.3">
      <c r="A19" s="2"/>
      <c r="B19" s="2" t="s">
        <v>18</v>
      </c>
      <c r="C19" s="8" t="s">
        <v>37</v>
      </c>
      <c r="D19" s="2"/>
    </row>
    <row r="21" spans="1:4" x14ac:dyDescent="0.3">
      <c r="A21" s="5" t="s">
        <v>19</v>
      </c>
      <c r="B21" s="3" t="s">
        <v>20</v>
      </c>
      <c r="C21" s="7" t="s">
        <v>25</v>
      </c>
      <c r="D21" s="3"/>
    </row>
    <row r="22" spans="1:4" x14ac:dyDescent="0.3">
      <c r="A22" s="2"/>
      <c r="B22" s="2" t="s">
        <v>27</v>
      </c>
      <c r="C22" s="8" t="s">
        <v>14</v>
      </c>
      <c r="D22" s="2"/>
    </row>
    <row r="23" spans="1:4" x14ac:dyDescent="0.3">
      <c r="A23" s="2"/>
      <c r="B23" s="2" t="s">
        <v>21</v>
      </c>
      <c r="C23" s="8">
        <v>60</v>
      </c>
      <c r="D23" s="2" t="str">
        <f>CONCATENATE("Recommendation: At least ", 60 * CEILING(C5 * C5 * C5 / 100000, 1)," seconds")</f>
        <v>Recommendation: At least 60 seconds</v>
      </c>
    </row>
  </sheetData>
  <phoneticPr fontId="3" type="noConversion"/>
  <dataValidations count="13">
    <dataValidation type="list" allowBlank="1" showInputMessage="1" showErrorMessage="1" sqref="C7" xr:uid="{FF219175-F7E2-44FB-9615-AD7666F2B65A}">
      <formula1>"Manual entry, Euclidian distances, Rounded Euclidian distances, Rectilinear (Manhattan) distances, Bird flight distances (km), Bird flight distances (miles), Bing Maps driving distances (km), Bing Maps driving distances (miles)"</formula1>
    </dataValidation>
    <dataValidation type="list" allowBlank="1" showInputMessage="1" showErrorMessage="1" sqref="C9" xr:uid="{BCB98C96-5A42-4C2D-9947-3D614DB9B28F}">
      <formula1>"Shortest, Fastest, Fastest - Real Time Traffic"</formula1>
    </dataValidation>
    <dataValidation type="list" allowBlank="1" showInputMessage="1" showErrorMessage="1" sqref="C14" xr:uid="{B0DB6899-03F6-45A8-9B9F-16092044E765}">
      <formula1>"No, Yes - only once at the end, Yes - may do so multiple times"</formula1>
    </dataValidation>
    <dataValidation type="list" allowBlank="1" showInputMessage="1" showErrorMessage="1" sqref="C15" xr:uid="{2CD1E276-1A6F-4948-8C75-5D10C6E5497B}">
      <formula1>"Hard, Soft"</formula1>
    </dataValidation>
    <dataValidation type="list" allowBlank="1" showInputMessage="1" showErrorMessage="1" sqref="C21 C16 C22" xr:uid="{3B0AA554-AF45-4F53-ACDF-4EDBAF28DF9D}">
      <formula1>"Yes, No"</formula1>
    </dataValidation>
    <dataValidation type="list" allowBlank="1" showInputMessage="1" showErrorMessage="1" sqref="C18" xr:uid="{6D6B3A4D-0D9B-4824-A6C2-5C9F06469F61}">
      <formula1>"Blank, Bing Maps"</formula1>
    </dataValidation>
    <dataValidation type="list" allowBlank="1" showInputMessage="1" showErrorMessage="1" sqref="C19" xr:uid="{95343ACB-B4D8-4AA3-AAA8-C2E8FC3E78E6}">
      <formula1>"Blank, Location IDs, Location names, (Time window start;Time window end), Service time, Pickup amount, Delivery amount, (Pickup amount; Delivery amount), Profit"</formula1>
    </dataValidation>
    <dataValidation type="list" allowBlank="1" showInputMessage="1" showErrorMessage="1" sqref="C8" xr:uid="{6E4B1BAA-1ADE-4A7A-965C-8F12A3FB8221}">
      <formula1>"Manual entry, Average vehicle speed, Bing Maps driving durations"</formula1>
    </dataValidation>
    <dataValidation type="whole" allowBlank="1" showInputMessage="1" showErrorMessage="1" error="Please enter an integer from 1 to 20" sqref="C4" xr:uid="{E72EB044-AF67-45BD-91B7-C2564D250D7E}">
      <formula1>1</formula1>
      <formula2>20</formula2>
    </dataValidation>
    <dataValidation type="whole" allowBlank="1" showInputMessage="1" showErrorMessage="1" error="Please enter an integer from 5 to 200" sqref="C5" xr:uid="{515A6AEB-157B-45F6-AE2A-95940E419460}">
      <formula1>5</formula1>
      <formula2>200</formula2>
    </dataValidation>
    <dataValidation type="decimal" operator="greaterThan" allowBlank="1" showInputMessage="1" showErrorMessage="1" error="Please enter a positive value" sqref="C10" xr:uid="{228188E8-812A-4D78-93FF-7DBB8847B657}">
      <formula1>0.0001</formula1>
    </dataValidation>
    <dataValidation type="whole" allowBlank="1" showInputMessage="1" showErrorMessage="1" error="Please enter an integer from 1 to 10" sqref="C12" xr:uid="{83619A87-0A05-47F1-AA2A-2B3AD233E55F}">
      <formula1>1</formula1>
      <formula2>10</formula2>
    </dataValidation>
    <dataValidation type="decimal" operator="greaterThanOrEqual" allowBlank="1" showInputMessage="1" showErrorMessage="1" error="Please enter a value greater than or equal to 10 seconds." sqref="C23" xr:uid="{B1BF51CF-3A0B-4E9E-9D26-37BF285B5080}">
      <formula1>10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9D510-D93C-42A9-A172-9E95EDD4BD67}">
  <dimension ref="A1:L21"/>
  <sheetViews>
    <sheetView workbookViewId="0">
      <selection activeCell="M6" sqref="M6"/>
    </sheetView>
  </sheetViews>
  <sheetFormatPr defaultRowHeight="14.4" x14ac:dyDescent="0.3"/>
  <cols>
    <col min="1" max="1" width="10.44140625" bestFit="1" customWidth="1"/>
    <col min="2" max="2" width="11.33203125" bestFit="1" customWidth="1"/>
    <col min="3" max="3" width="7.6640625" bestFit="1" customWidth="1"/>
    <col min="4" max="4" width="10.6640625" bestFit="1" customWidth="1"/>
    <col min="5" max="5" width="12.109375" bestFit="1" customWidth="1"/>
    <col min="6" max="6" width="16.5546875" bestFit="1" customWidth="1"/>
    <col min="7" max="7" width="16" bestFit="1" customWidth="1"/>
    <col min="8" max="8" width="14.77734375" bestFit="1" customWidth="1"/>
    <col min="9" max="9" width="11.21875" bestFit="1" customWidth="1"/>
    <col min="10" max="10" width="13.88671875" bestFit="1" customWidth="1"/>
    <col min="11" max="11" width="15" bestFit="1" customWidth="1"/>
    <col min="12" max="12" width="5.6640625" bestFit="1" customWidth="1"/>
  </cols>
  <sheetData>
    <row r="1" spans="1:12" x14ac:dyDescent="0.3">
      <c r="A1" s="11" t="s">
        <v>40</v>
      </c>
      <c r="B1" s="19" t="s">
        <v>41</v>
      </c>
      <c r="C1" s="19" t="s">
        <v>42</v>
      </c>
      <c r="D1" s="19" t="s">
        <v>43</v>
      </c>
      <c r="E1" s="19" t="s">
        <v>44</v>
      </c>
      <c r="F1" s="19" t="s">
        <v>45</v>
      </c>
      <c r="G1" s="19" t="s">
        <v>46</v>
      </c>
      <c r="H1" s="19" t="s">
        <v>47</v>
      </c>
      <c r="I1" s="19" t="s">
        <v>48</v>
      </c>
      <c r="J1" s="19" t="s">
        <v>49</v>
      </c>
      <c r="K1" s="19" t="s">
        <v>50</v>
      </c>
      <c r="L1" s="19" t="s">
        <v>51</v>
      </c>
    </row>
    <row r="2" spans="1:12" ht="15" thickBot="1" x14ac:dyDescent="0.35">
      <c r="A2" s="12">
        <v>0</v>
      </c>
      <c r="B2" s="20" t="s">
        <v>52</v>
      </c>
      <c r="C2" s="20"/>
      <c r="D2" s="25">
        <v>50</v>
      </c>
      <c r="E2" s="25">
        <v>50</v>
      </c>
      <c r="F2" s="30">
        <v>0</v>
      </c>
      <c r="G2" s="30">
        <v>0.99930555555555556</v>
      </c>
      <c r="H2" s="39" t="s">
        <v>53</v>
      </c>
      <c r="I2" s="40">
        <v>0</v>
      </c>
      <c r="J2" s="39">
        <v>0</v>
      </c>
      <c r="K2" s="39">
        <v>0</v>
      </c>
      <c r="L2" s="39">
        <v>0</v>
      </c>
    </row>
    <row r="3" spans="1:12" ht="15" thickTop="1" x14ac:dyDescent="0.3">
      <c r="A3" s="13">
        <v>1</v>
      </c>
      <c r="B3" s="21" t="s">
        <v>54</v>
      </c>
      <c r="C3" s="21"/>
      <c r="D3" s="26">
        <v>10.5</v>
      </c>
      <c r="E3" s="26">
        <v>27.9</v>
      </c>
      <c r="F3" s="31">
        <v>0</v>
      </c>
      <c r="G3" s="31">
        <v>0.99930555555555556</v>
      </c>
      <c r="H3" s="21" t="s">
        <v>55</v>
      </c>
      <c r="I3" s="35">
        <v>0</v>
      </c>
      <c r="J3" s="21">
        <v>0</v>
      </c>
      <c r="K3" s="21">
        <v>240.1</v>
      </c>
      <c r="L3" s="21">
        <v>0</v>
      </c>
    </row>
    <row r="4" spans="1:12" x14ac:dyDescent="0.3">
      <c r="A4" s="16">
        <v>2</v>
      </c>
      <c r="B4" s="22" t="s">
        <v>56</v>
      </c>
      <c r="C4" s="22"/>
      <c r="D4" s="27">
        <v>76.400000000000006</v>
      </c>
      <c r="E4" s="27">
        <v>36.4</v>
      </c>
      <c r="F4" s="32">
        <v>0</v>
      </c>
      <c r="G4" s="32">
        <v>0.99930555555555556</v>
      </c>
      <c r="H4" s="22" t="s">
        <v>55</v>
      </c>
      <c r="I4" s="36">
        <v>0</v>
      </c>
      <c r="J4" s="22">
        <v>0</v>
      </c>
      <c r="K4" s="22">
        <v>709.8</v>
      </c>
      <c r="L4" s="22">
        <v>0</v>
      </c>
    </row>
    <row r="5" spans="1:12" x14ac:dyDescent="0.3">
      <c r="A5" s="16">
        <v>3</v>
      </c>
      <c r="B5" s="23" t="s">
        <v>57</v>
      </c>
      <c r="C5" s="23"/>
      <c r="D5" s="28">
        <v>0.9</v>
      </c>
      <c r="E5" s="28">
        <v>61.7</v>
      </c>
      <c r="F5" s="33">
        <v>0</v>
      </c>
      <c r="G5" s="33">
        <v>0.99930555555555556</v>
      </c>
      <c r="H5" s="23" t="s">
        <v>55</v>
      </c>
      <c r="I5" s="37">
        <v>0</v>
      </c>
      <c r="J5" s="23">
        <v>0</v>
      </c>
      <c r="K5" s="23">
        <v>244.4</v>
      </c>
      <c r="L5" s="23">
        <v>0</v>
      </c>
    </row>
    <row r="6" spans="1:12" x14ac:dyDescent="0.3">
      <c r="A6" s="16">
        <v>4</v>
      </c>
      <c r="B6" s="22" t="s">
        <v>58</v>
      </c>
      <c r="C6" s="22"/>
      <c r="D6" s="27">
        <v>42.7</v>
      </c>
      <c r="E6" s="27">
        <v>7.3</v>
      </c>
      <c r="F6" s="32">
        <v>0</v>
      </c>
      <c r="G6" s="32">
        <v>0.99930555555555556</v>
      </c>
      <c r="H6" s="22" t="s">
        <v>55</v>
      </c>
      <c r="I6" s="36">
        <v>0</v>
      </c>
      <c r="J6" s="22">
        <v>0</v>
      </c>
      <c r="K6" s="22">
        <v>33</v>
      </c>
      <c r="L6" s="22">
        <v>0</v>
      </c>
    </row>
    <row r="7" spans="1:12" x14ac:dyDescent="0.3">
      <c r="A7" s="16">
        <v>5</v>
      </c>
      <c r="B7" s="23" t="s">
        <v>59</v>
      </c>
      <c r="C7" s="23"/>
      <c r="D7" s="28">
        <v>20.6</v>
      </c>
      <c r="E7" s="28">
        <v>51.4</v>
      </c>
      <c r="F7" s="33">
        <v>0</v>
      </c>
      <c r="G7" s="33">
        <v>0.99930555555555556</v>
      </c>
      <c r="H7" s="23" t="s">
        <v>55</v>
      </c>
      <c r="I7" s="37">
        <v>0</v>
      </c>
      <c r="J7" s="23">
        <v>0</v>
      </c>
      <c r="K7" s="23">
        <v>722.6</v>
      </c>
      <c r="L7" s="23">
        <v>0</v>
      </c>
    </row>
    <row r="8" spans="1:12" x14ac:dyDescent="0.3">
      <c r="A8" s="16">
        <v>6</v>
      </c>
      <c r="B8" s="22" t="s">
        <v>60</v>
      </c>
      <c r="C8" s="22"/>
      <c r="D8" s="27">
        <v>72.599999999999994</v>
      </c>
      <c r="E8" s="27">
        <v>74</v>
      </c>
      <c r="F8" s="32">
        <v>0</v>
      </c>
      <c r="G8" s="32">
        <v>0.99930555555555556</v>
      </c>
      <c r="H8" s="22" t="s">
        <v>55</v>
      </c>
      <c r="I8" s="36">
        <v>0</v>
      </c>
      <c r="J8" s="22">
        <v>0</v>
      </c>
      <c r="K8" s="22">
        <v>26.3</v>
      </c>
      <c r="L8" s="22">
        <v>0</v>
      </c>
    </row>
    <row r="9" spans="1:12" x14ac:dyDescent="0.3">
      <c r="A9" s="16">
        <v>7</v>
      </c>
      <c r="B9" s="23" t="s">
        <v>61</v>
      </c>
      <c r="C9" s="23"/>
      <c r="D9" s="28">
        <v>5.3</v>
      </c>
      <c r="E9" s="28">
        <v>10.4</v>
      </c>
      <c r="F9" s="33">
        <v>0</v>
      </c>
      <c r="G9" s="33">
        <v>0.99930555555555556</v>
      </c>
      <c r="H9" s="23" t="s">
        <v>55</v>
      </c>
      <c r="I9" s="37">
        <v>0</v>
      </c>
      <c r="J9" s="23">
        <v>0</v>
      </c>
      <c r="K9" s="23">
        <v>801.9</v>
      </c>
      <c r="L9" s="23">
        <v>0</v>
      </c>
    </row>
    <row r="10" spans="1:12" x14ac:dyDescent="0.3">
      <c r="A10" s="16">
        <v>8</v>
      </c>
      <c r="B10" s="22" t="s">
        <v>62</v>
      </c>
      <c r="C10" s="22"/>
      <c r="D10" s="27">
        <v>13.6</v>
      </c>
      <c r="E10" s="27">
        <v>93</v>
      </c>
      <c r="F10" s="32">
        <v>0</v>
      </c>
      <c r="G10" s="32">
        <v>0.99930555555555556</v>
      </c>
      <c r="H10" s="22" t="s">
        <v>55</v>
      </c>
      <c r="I10" s="36">
        <v>0</v>
      </c>
      <c r="J10" s="22">
        <v>0</v>
      </c>
      <c r="K10" s="22">
        <v>791.7</v>
      </c>
      <c r="L10" s="22">
        <v>0</v>
      </c>
    </row>
    <row r="11" spans="1:12" x14ac:dyDescent="0.3">
      <c r="A11" s="16">
        <v>9</v>
      </c>
      <c r="B11" s="23" t="s">
        <v>63</v>
      </c>
      <c r="C11" s="23"/>
      <c r="D11" s="28">
        <v>36.5</v>
      </c>
      <c r="E11" s="28">
        <v>44</v>
      </c>
      <c r="F11" s="33">
        <v>0</v>
      </c>
      <c r="G11" s="33">
        <v>0.99930555555555556</v>
      </c>
      <c r="H11" s="23" t="s">
        <v>55</v>
      </c>
      <c r="I11" s="37">
        <v>0</v>
      </c>
      <c r="J11" s="23">
        <v>0</v>
      </c>
      <c r="K11" s="23">
        <v>666</v>
      </c>
      <c r="L11" s="23">
        <v>0</v>
      </c>
    </row>
    <row r="12" spans="1:12" x14ac:dyDescent="0.3">
      <c r="A12" s="16">
        <v>10</v>
      </c>
      <c r="B12" s="22" t="s">
        <v>64</v>
      </c>
      <c r="C12" s="22"/>
      <c r="D12" s="27">
        <v>1.8</v>
      </c>
      <c r="E12" s="27">
        <v>60.9</v>
      </c>
      <c r="F12" s="32">
        <v>0</v>
      </c>
      <c r="G12" s="32">
        <v>0.99930555555555556</v>
      </c>
      <c r="H12" s="22" t="s">
        <v>55</v>
      </c>
      <c r="I12" s="36">
        <v>0</v>
      </c>
      <c r="J12" s="22">
        <v>0</v>
      </c>
      <c r="K12" s="22">
        <v>397.6</v>
      </c>
      <c r="L12" s="22">
        <v>0</v>
      </c>
    </row>
    <row r="13" spans="1:12" x14ac:dyDescent="0.3">
      <c r="A13" s="16">
        <v>11</v>
      </c>
      <c r="B13" s="23" t="s">
        <v>65</v>
      </c>
      <c r="C13" s="23"/>
      <c r="D13" s="28">
        <v>87.5</v>
      </c>
      <c r="E13" s="28">
        <v>7.3</v>
      </c>
      <c r="F13" s="33">
        <v>0</v>
      </c>
      <c r="G13" s="33">
        <v>0.99930555555555556</v>
      </c>
      <c r="H13" s="23" t="s">
        <v>55</v>
      </c>
      <c r="I13" s="37">
        <v>0</v>
      </c>
      <c r="J13" s="23">
        <v>0</v>
      </c>
      <c r="K13" s="23">
        <v>421.2</v>
      </c>
      <c r="L13" s="23">
        <v>0</v>
      </c>
    </row>
    <row r="14" spans="1:12" x14ac:dyDescent="0.3">
      <c r="A14" s="16">
        <v>12</v>
      </c>
      <c r="B14" s="22" t="s">
        <v>66</v>
      </c>
      <c r="C14" s="22"/>
      <c r="D14" s="27">
        <v>13.6</v>
      </c>
      <c r="E14" s="27">
        <v>96.5</v>
      </c>
      <c r="F14" s="32">
        <v>0</v>
      </c>
      <c r="G14" s="32">
        <v>0.99930555555555556</v>
      </c>
      <c r="H14" s="22" t="s">
        <v>55</v>
      </c>
      <c r="I14" s="36">
        <v>0</v>
      </c>
      <c r="J14" s="22">
        <v>0</v>
      </c>
      <c r="K14" s="22">
        <v>848.2</v>
      </c>
      <c r="L14" s="22">
        <v>0</v>
      </c>
    </row>
    <row r="15" spans="1:12" x14ac:dyDescent="0.3">
      <c r="A15" s="16">
        <v>13</v>
      </c>
      <c r="B15" s="23" t="s">
        <v>67</v>
      </c>
      <c r="C15" s="23"/>
      <c r="D15" s="28">
        <v>11</v>
      </c>
      <c r="E15" s="28">
        <v>78.900000000000006</v>
      </c>
      <c r="F15" s="33">
        <v>0</v>
      </c>
      <c r="G15" s="33">
        <v>0.99930555555555556</v>
      </c>
      <c r="H15" s="23" t="s">
        <v>55</v>
      </c>
      <c r="I15" s="37">
        <v>0</v>
      </c>
      <c r="J15" s="23">
        <v>0</v>
      </c>
      <c r="K15" s="23">
        <v>389.9</v>
      </c>
      <c r="L15" s="23">
        <v>0</v>
      </c>
    </row>
    <row r="16" spans="1:12" x14ac:dyDescent="0.3">
      <c r="A16" s="16">
        <v>14</v>
      </c>
      <c r="B16" s="22" t="s">
        <v>68</v>
      </c>
      <c r="C16" s="22"/>
      <c r="D16" s="27">
        <v>23</v>
      </c>
      <c r="E16" s="27">
        <v>47.5</v>
      </c>
      <c r="F16" s="32">
        <v>0</v>
      </c>
      <c r="G16" s="32">
        <v>0.99930555555555556</v>
      </c>
      <c r="H16" s="22" t="s">
        <v>55</v>
      </c>
      <c r="I16" s="36">
        <v>0</v>
      </c>
      <c r="J16" s="22">
        <v>0</v>
      </c>
      <c r="K16" s="22">
        <v>84.2</v>
      </c>
      <c r="L16" s="22">
        <v>0</v>
      </c>
    </row>
    <row r="17" spans="1:12" x14ac:dyDescent="0.3">
      <c r="A17" s="16">
        <v>15</v>
      </c>
      <c r="B17" s="23" t="s">
        <v>69</v>
      </c>
      <c r="C17" s="23"/>
      <c r="D17" s="28">
        <v>37.4</v>
      </c>
      <c r="E17" s="28">
        <v>35.5</v>
      </c>
      <c r="F17" s="33">
        <v>0</v>
      </c>
      <c r="G17" s="33">
        <v>0.99930555555555556</v>
      </c>
      <c r="H17" s="23" t="s">
        <v>55</v>
      </c>
      <c r="I17" s="37">
        <v>0</v>
      </c>
      <c r="J17" s="23">
        <v>0</v>
      </c>
      <c r="K17" s="23">
        <v>597.29999999999995</v>
      </c>
      <c r="L17" s="23">
        <v>0</v>
      </c>
    </row>
    <row r="18" spans="1:12" x14ac:dyDescent="0.3">
      <c r="A18" s="16">
        <v>16</v>
      </c>
      <c r="B18" s="22" t="s">
        <v>70</v>
      </c>
      <c r="C18" s="22"/>
      <c r="D18" s="27">
        <v>54.4</v>
      </c>
      <c r="E18" s="27">
        <v>75.3</v>
      </c>
      <c r="F18" s="32">
        <v>0</v>
      </c>
      <c r="G18" s="32">
        <v>0.99930555555555556</v>
      </c>
      <c r="H18" s="22" t="s">
        <v>55</v>
      </c>
      <c r="I18" s="36">
        <v>0</v>
      </c>
      <c r="J18" s="22">
        <v>0</v>
      </c>
      <c r="K18" s="22">
        <v>667.8</v>
      </c>
      <c r="L18" s="22">
        <v>0</v>
      </c>
    </row>
    <row r="19" spans="1:12" x14ac:dyDescent="0.3">
      <c r="A19" s="16">
        <v>17</v>
      </c>
      <c r="B19" s="23" t="s">
        <v>71</v>
      </c>
      <c r="C19" s="23"/>
      <c r="D19" s="28">
        <v>33.6</v>
      </c>
      <c r="E19" s="28">
        <v>87.1</v>
      </c>
      <c r="F19" s="33">
        <v>0</v>
      </c>
      <c r="G19" s="33">
        <v>0.99930555555555556</v>
      </c>
      <c r="H19" s="23" t="s">
        <v>55</v>
      </c>
      <c r="I19" s="37">
        <v>0</v>
      </c>
      <c r="J19" s="23">
        <v>0</v>
      </c>
      <c r="K19" s="23">
        <v>315.60000000000002</v>
      </c>
      <c r="L19" s="23">
        <v>0</v>
      </c>
    </row>
    <row r="20" spans="1:12" x14ac:dyDescent="0.3">
      <c r="A20" s="16">
        <v>18</v>
      </c>
      <c r="B20" s="22" t="s">
        <v>72</v>
      </c>
      <c r="C20" s="22"/>
      <c r="D20" s="27">
        <v>9.1</v>
      </c>
      <c r="E20" s="27">
        <v>6.3</v>
      </c>
      <c r="F20" s="32">
        <v>0</v>
      </c>
      <c r="G20" s="32">
        <v>0.99930555555555556</v>
      </c>
      <c r="H20" s="22" t="s">
        <v>55</v>
      </c>
      <c r="I20" s="36">
        <v>0</v>
      </c>
      <c r="J20" s="22">
        <v>0</v>
      </c>
      <c r="K20" s="22">
        <v>743.1</v>
      </c>
      <c r="L20" s="22">
        <v>0</v>
      </c>
    </row>
    <row r="21" spans="1:12" x14ac:dyDescent="0.3">
      <c r="A21" s="14">
        <v>19</v>
      </c>
      <c r="B21" s="24" t="s">
        <v>73</v>
      </c>
      <c r="C21" s="24"/>
      <c r="D21" s="29">
        <v>86.4</v>
      </c>
      <c r="E21" s="29">
        <v>15.1</v>
      </c>
      <c r="F21" s="34">
        <v>0</v>
      </c>
      <c r="G21" s="34">
        <v>0.99930555555555556</v>
      </c>
      <c r="H21" s="24" t="s">
        <v>55</v>
      </c>
      <c r="I21" s="38">
        <v>0</v>
      </c>
      <c r="J21" s="24">
        <v>0</v>
      </c>
      <c r="K21" s="24">
        <v>51.5</v>
      </c>
      <c r="L21" s="24">
        <v>0</v>
      </c>
    </row>
  </sheetData>
  <conditionalFormatting sqref="A2">
    <cfRule type="expression" dxfId="860" priority="1" stopIfTrue="1">
      <formula>ISBLANK(A2)</formula>
    </cfRule>
  </conditionalFormatting>
  <conditionalFormatting sqref="B2">
    <cfRule type="expression" dxfId="859" priority="2" stopIfTrue="1">
      <formula>ISBLANK(B2)</formula>
    </cfRule>
  </conditionalFormatting>
  <conditionalFormatting sqref="F2">
    <cfRule type="cellIs" dxfId="858" priority="3" stopIfTrue="1" operator="greaterThan">
      <formula>G2-$I$2</formula>
    </cfRule>
  </conditionalFormatting>
  <conditionalFormatting sqref="G2">
    <cfRule type="cellIs" dxfId="857" priority="4" stopIfTrue="1" operator="lessThan">
      <formula>F2+$I$2</formula>
    </cfRule>
  </conditionalFormatting>
  <conditionalFormatting sqref="I2">
    <cfRule type="cellIs" dxfId="856" priority="5" stopIfTrue="1" operator="greaterThan">
      <formula>G2-F2 + 0.0001</formula>
    </cfRule>
  </conditionalFormatting>
  <conditionalFormatting sqref="A3">
    <cfRule type="expression" dxfId="855" priority="6" stopIfTrue="1">
      <formula>ISBLANK(A3)</formula>
    </cfRule>
  </conditionalFormatting>
  <conditionalFormatting sqref="B3">
    <cfRule type="expression" dxfId="854" priority="7" stopIfTrue="1">
      <formula>ISBLANK(B3)</formula>
    </cfRule>
  </conditionalFormatting>
  <conditionalFormatting sqref="F3">
    <cfRule type="cellIs" dxfId="853" priority="8" stopIfTrue="1" operator="greaterThan">
      <formula>G3-$I$3</formula>
    </cfRule>
  </conditionalFormatting>
  <conditionalFormatting sqref="G3">
    <cfRule type="cellIs" dxfId="852" priority="9" stopIfTrue="1" operator="lessThan">
      <formula>F3+$I$3</formula>
    </cfRule>
  </conditionalFormatting>
  <conditionalFormatting sqref="H3">
    <cfRule type="cellIs" dxfId="851" priority="10" stopIfTrue="1" operator="equal">
      <formula>"May be visited"</formula>
    </cfRule>
    <cfRule type="cellIs" dxfId="850" priority="11" stopIfTrue="1" operator="equal">
      <formula>"Don't visit"</formula>
    </cfRule>
  </conditionalFormatting>
  <conditionalFormatting sqref="I3">
    <cfRule type="cellIs" dxfId="849" priority="12" stopIfTrue="1" operator="greaterThan">
      <formula>G3-F3 + 0.0001</formula>
    </cfRule>
  </conditionalFormatting>
  <conditionalFormatting sqref="A4">
    <cfRule type="expression" dxfId="848" priority="13" stopIfTrue="1">
      <formula>ISBLANK(A4)</formula>
    </cfRule>
  </conditionalFormatting>
  <conditionalFormatting sqref="B4">
    <cfRule type="expression" dxfId="847" priority="14" stopIfTrue="1">
      <formula>ISBLANK(B4)</formula>
    </cfRule>
  </conditionalFormatting>
  <conditionalFormatting sqref="F4">
    <cfRule type="cellIs" dxfId="846" priority="15" stopIfTrue="1" operator="greaterThan">
      <formula>G4-$I$4</formula>
    </cfRule>
  </conditionalFormatting>
  <conditionalFormatting sqref="G4">
    <cfRule type="cellIs" dxfId="845" priority="16" stopIfTrue="1" operator="lessThan">
      <formula>F4+$I$4</formula>
    </cfRule>
  </conditionalFormatting>
  <conditionalFormatting sqref="H4">
    <cfRule type="cellIs" dxfId="844" priority="17" stopIfTrue="1" operator="equal">
      <formula>"May be visited"</formula>
    </cfRule>
    <cfRule type="cellIs" dxfId="843" priority="18" stopIfTrue="1" operator="equal">
      <formula>"Don't visit"</formula>
    </cfRule>
  </conditionalFormatting>
  <conditionalFormatting sqref="I4">
    <cfRule type="cellIs" dxfId="842" priority="19" stopIfTrue="1" operator="greaterThan">
      <formula>G4-F4 + 0.0001</formula>
    </cfRule>
  </conditionalFormatting>
  <conditionalFormatting sqref="A5">
    <cfRule type="expression" dxfId="841" priority="20" stopIfTrue="1">
      <formula>ISBLANK(A5)</formula>
    </cfRule>
  </conditionalFormatting>
  <conditionalFormatting sqref="B5">
    <cfRule type="expression" dxfId="840" priority="21" stopIfTrue="1">
      <formula>ISBLANK(B5)</formula>
    </cfRule>
  </conditionalFormatting>
  <conditionalFormatting sqref="F5">
    <cfRule type="cellIs" dxfId="839" priority="22" stopIfTrue="1" operator="greaterThan">
      <formula>G5-$I$5</formula>
    </cfRule>
  </conditionalFormatting>
  <conditionalFormatting sqref="G5">
    <cfRule type="cellIs" dxfId="838" priority="23" stopIfTrue="1" operator="lessThan">
      <formula>F5+$I$5</formula>
    </cfRule>
  </conditionalFormatting>
  <conditionalFormatting sqref="H5">
    <cfRule type="cellIs" dxfId="837" priority="24" stopIfTrue="1" operator="equal">
      <formula>"May be visited"</formula>
    </cfRule>
  </conditionalFormatting>
  <conditionalFormatting sqref="H5">
    <cfRule type="cellIs" dxfId="836" priority="25" stopIfTrue="1" operator="equal">
      <formula>"Don't visit"</formula>
    </cfRule>
  </conditionalFormatting>
  <conditionalFormatting sqref="I5">
    <cfRule type="cellIs" dxfId="835" priority="26" stopIfTrue="1" operator="greaterThan">
      <formula>G5-F5 + 0.0001</formula>
    </cfRule>
  </conditionalFormatting>
  <conditionalFormatting sqref="A6">
    <cfRule type="expression" dxfId="834" priority="27" stopIfTrue="1">
      <formula>ISBLANK(A6)</formula>
    </cfRule>
  </conditionalFormatting>
  <conditionalFormatting sqref="B6">
    <cfRule type="expression" dxfId="833" priority="28" stopIfTrue="1">
      <formula>ISBLANK(B6)</formula>
    </cfRule>
  </conditionalFormatting>
  <conditionalFormatting sqref="F6">
    <cfRule type="cellIs" dxfId="832" priority="29" stopIfTrue="1" operator="greaterThan">
      <formula>G6-$I$6</formula>
    </cfRule>
  </conditionalFormatting>
  <conditionalFormatting sqref="G6">
    <cfRule type="cellIs" dxfId="831" priority="30" stopIfTrue="1" operator="lessThan">
      <formula>F6+$I$6</formula>
    </cfRule>
  </conditionalFormatting>
  <conditionalFormatting sqref="H6">
    <cfRule type="cellIs" dxfId="830" priority="31" stopIfTrue="1" operator="equal">
      <formula>"May be visited"</formula>
    </cfRule>
  </conditionalFormatting>
  <conditionalFormatting sqref="H6">
    <cfRule type="cellIs" dxfId="829" priority="32" stopIfTrue="1" operator="equal">
      <formula>"Don't visit"</formula>
    </cfRule>
  </conditionalFormatting>
  <conditionalFormatting sqref="I6">
    <cfRule type="cellIs" dxfId="828" priority="33" stopIfTrue="1" operator="greaterThan">
      <formula>G6-F6 + 0.0001</formula>
    </cfRule>
  </conditionalFormatting>
  <conditionalFormatting sqref="A7">
    <cfRule type="expression" dxfId="827" priority="34" stopIfTrue="1">
      <formula>ISBLANK(A7)</formula>
    </cfRule>
  </conditionalFormatting>
  <conditionalFormatting sqref="B7">
    <cfRule type="expression" dxfId="826" priority="35" stopIfTrue="1">
      <formula>ISBLANK(B7)</formula>
    </cfRule>
  </conditionalFormatting>
  <conditionalFormatting sqref="F7">
    <cfRule type="cellIs" dxfId="825" priority="36" stopIfTrue="1" operator="greaterThan">
      <formula>G7-$I$7</formula>
    </cfRule>
  </conditionalFormatting>
  <conditionalFormatting sqref="G7">
    <cfRule type="cellIs" dxfId="824" priority="37" stopIfTrue="1" operator="lessThan">
      <formula>F7+$I$7</formula>
    </cfRule>
  </conditionalFormatting>
  <conditionalFormatting sqref="H7">
    <cfRule type="cellIs" dxfId="823" priority="38" stopIfTrue="1" operator="equal">
      <formula>"May be visited"</formula>
    </cfRule>
  </conditionalFormatting>
  <conditionalFormatting sqref="H7">
    <cfRule type="cellIs" dxfId="822" priority="39" stopIfTrue="1" operator="equal">
      <formula>"Don't visit"</formula>
    </cfRule>
  </conditionalFormatting>
  <conditionalFormatting sqref="I7">
    <cfRule type="cellIs" dxfId="821" priority="40" stopIfTrue="1" operator="greaterThan">
      <formula>G7-F7 + 0.0001</formula>
    </cfRule>
  </conditionalFormatting>
  <conditionalFormatting sqref="A8">
    <cfRule type="expression" dxfId="820" priority="41" stopIfTrue="1">
      <formula>ISBLANK(A8)</formula>
    </cfRule>
  </conditionalFormatting>
  <conditionalFormatting sqref="B8">
    <cfRule type="expression" dxfId="819" priority="42" stopIfTrue="1">
      <formula>ISBLANK(B8)</formula>
    </cfRule>
  </conditionalFormatting>
  <conditionalFormatting sqref="F8">
    <cfRule type="cellIs" dxfId="818" priority="43" stopIfTrue="1" operator="greaterThan">
      <formula>G8-$I$8</formula>
    </cfRule>
  </conditionalFormatting>
  <conditionalFormatting sqref="G8">
    <cfRule type="cellIs" dxfId="817" priority="44" stopIfTrue="1" operator="lessThan">
      <formula>F8+$I$8</formula>
    </cfRule>
  </conditionalFormatting>
  <conditionalFormatting sqref="H8">
    <cfRule type="cellIs" dxfId="816" priority="45" stopIfTrue="1" operator="equal">
      <formula>"May be visited"</formula>
    </cfRule>
  </conditionalFormatting>
  <conditionalFormatting sqref="H8">
    <cfRule type="cellIs" dxfId="815" priority="46" stopIfTrue="1" operator="equal">
      <formula>"Don't visit"</formula>
    </cfRule>
  </conditionalFormatting>
  <conditionalFormatting sqref="I8">
    <cfRule type="cellIs" dxfId="814" priority="47" stopIfTrue="1" operator="greaterThan">
      <formula>G8-F8 + 0.0001</formula>
    </cfRule>
  </conditionalFormatting>
  <conditionalFormatting sqref="A9">
    <cfRule type="expression" dxfId="813" priority="48" stopIfTrue="1">
      <formula>ISBLANK(A9)</formula>
    </cfRule>
  </conditionalFormatting>
  <conditionalFormatting sqref="B9">
    <cfRule type="expression" dxfId="812" priority="49" stopIfTrue="1">
      <formula>ISBLANK(B9)</formula>
    </cfRule>
  </conditionalFormatting>
  <conditionalFormatting sqref="F9">
    <cfRule type="cellIs" dxfId="811" priority="50" stopIfTrue="1" operator="greaterThan">
      <formula>G9-$I$9</formula>
    </cfRule>
  </conditionalFormatting>
  <conditionalFormatting sqref="G9">
    <cfRule type="cellIs" dxfId="810" priority="51" stopIfTrue="1" operator="lessThan">
      <formula>F9+$I$9</formula>
    </cfRule>
  </conditionalFormatting>
  <conditionalFormatting sqref="H9">
    <cfRule type="cellIs" dxfId="809" priority="52" stopIfTrue="1" operator="equal">
      <formula>"May be visited"</formula>
    </cfRule>
  </conditionalFormatting>
  <conditionalFormatting sqref="H9">
    <cfRule type="cellIs" dxfId="808" priority="53" stopIfTrue="1" operator="equal">
      <formula>"Don't visit"</formula>
    </cfRule>
  </conditionalFormatting>
  <conditionalFormatting sqref="I9">
    <cfRule type="cellIs" dxfId="807" priority="54" stopIfTrue="1" operator="greaterThan">
      <formula>G9-F9 + 0.0001</formula>
    </cfRule>
  </conditionalFormatting>
  <conditionalFormatting sqref="A10">
    <cfRule type="expression" dxfId="806" priority="55" stopIfTrue="1">
      <formula>ISBLANK(A10)</formula>
    </cfRule>
  </conditionalFormatting>
  <conditionalFormatting sqref="B10">
    <cfRule type="expression" dxfId="805" priority="56" stopIfTrue="1">
      <formula>ISBLANK(B10)</formula>
    </cfRule>
  </conditionalFormatting>
  <conditionalFormatting sqref="F10">
    <cfRule type="cellIs" dxfId="804" priority="57" stopIfTrue="1" operator="greaterThan">
      <formula>G10-$I$10</formula>
    </cfRule>
  </conditionalFormatting>
  <conditionalFormatting sqref="G10">
    <cfRule type="cellIs" dxfId="803" priority="58" stopIfTrue="1" operator="lessThan">
      <formula>F10+$I$10</formula>
    </cfRule>
  </conditionalFormatting>
  <conditionalFormatting sqref="H10">
    <cfRule type="cellIs" dxfId="802" priority="59" stopIfTrue="1" operator="equal">
      <formula>"May be visited"</formula>
    </cfRule>
  </conditionalFormatting>
  <conditionalFormatting sqref="H10">
    <cfRule type="cellIs" dxfId="801" priority="60" stopIfTrue="1" operator="equal">
      <formula>"Don't visit"</formula>
    </cfRule>
  </conditionalFormatting>
  <conditionalFormatting sqref="I10">
    <cfRule type="cellIs" dxfId="800" priority="61" stopIfTrue="1" operator="greaterThan">
      <formula>G10-F10 + 0.0001</formula>
    </cfRule>
  </conditionalFormatting>
  <conditionalFormatting sqref="A11">
    <cfRule type="expression" dxfId="799" priority="62" stopIfTrue="1">
      <formula>ISBLANK(A11)</formula>
    </cfRule>
  </conditionalFormatting>
  <conditionalFormatting sqref="B11">
    <cfRule type="expression" dxfId="798" priority="63" stopIfTrue="1">
      <formula>ISBLANK(B11)</formula>
    </cfRule>
  </conditionalFormatting>
  <conditionalFormatting sqref="F11">
    <cfRule type="cellIs" dxfId="797" priority="64" stopIfTrue="1" operator="greaterThan">
      <formula>G11-$I$11</formula>
    </cfRule>
  </conditionalFormatting>
  <conditionalFormatting sqref="G11">
    <cfRule type="cellIs" dxfId="796" priority="65" stopIfTrue="1" operator="lessThan">
      <formula>F11+$I$11</formula>
    </cfRule>
  </conditionalFormatting>
  <conditionalFormatting sqref="H11">
    <cfRule type="cellIs" dxfId="795" priority="66" stopIfTrue="1" operator="equal">
      <formula>"May be visited"</formula>
    </cfRule>
  </conditionalFormatting>
  <conditionalFormatting sqref="H11">
    <cfRule type="cellIs" dxfId="794" priority="67" stopIfTrue="1" operator="equal">
      <formula>"Don't visit"</formula>
    </cfRule>
  </conditionalFormatting>
  <conditionalFormatting sqref="I11">
    <cfRule type="cellIs" dxfId="793" priority="68" stopIfTrue="1" operator="greaterThan">
      <formula>G11-F11 + 0.0001</formula>
    </cfRule>
  </conditionalFormatting>
  <conditionalFormatting sqref="A12">
    <cfRule type="expression" dxfId="792" priority="69" stopIfTrue="1">
      <formula>ISBLANK(A12)</formula>
    </cfRule>
  </conditionalFormatting>
  <conditionalFormatting sqref="B12">
    <cfRule type="expression" dxfId="791" priority="70" stopIfTrue="1">
      <formula>ISBLANK(B12)</formula>
    </cfRule>
  </conditionalFormatting>
  <conditionalFormatting sqref="F12">
    <cfRule type="cellIs" dxfId="790" priority="71" stopIfTrue="1" operator="greaterThan">
      <formula>G12-$I$12</formula>
    </cfRule>
  </conditionalFormatting>
  <conditionalFormatting sqref="G12">
    <cfRule type="cellIs" dxfId="789" priority="72" stopIfTrue="1" operator="lessThan">
      <formula>F12+$I$12</formula>
    </cfRule>
  </conditionalFormatting>
  <conditionalFormatting sqref="H12">
    <cfRule type="cellIs" dxfId="788" priority="73" stopIfTrue="1" operator="equal">
      <formula>"May be visited"</formula>
    </cfRule>
  </conditionalFormatting>
  <conditionalFormatting sqref="H12">
    <cfRule type="cellIs" dxfId="787" priority="74" stopIfTrue="1" operator="equal">
      <formula>"Don't visit"</formula>
    </cfRule>
  </conditionalFormatting>
  <conditionalFormatting sqref="I12">
    <cfRule type="cellIs" dxfId="786" priority="75" stopIfTrue="1" operator="greaterThan">
      <formula>G12-F12 + 0.0001</formula>
    </cfRule>
  </conditionalFormatting>
  <conditionalFormatting sqref="A13">
    <cfRule type="expression" dxfId="785" priority="76" stopIfTrue="1">
      <formula>ISBLANK(A13)</formula>
    </cfRule>
  </conditionalFormatting>
  <conditionalFormatting sqref="B13">
    <cfRule type="expression" dxfId="784" priority="77" stopIfTrue="1">
      <formula>ISBLANK(B13)</formula>
    </cfRule>
  </conditionalFormatting>
  <conditionalFormatting sqref="F13">
    <cfRule type="cellIs" dxfId="783" priority="78" stopIfTrue="1" operator="greaterThan">
      <formula>G13-$I$13</formula>
    </cfRule>
  </conditionalFormatting>
  <conditionalFormatting sqref="G13">
    <cfRule type="cellIs" dxfId="782" priority="79" stopIfTrue="1" operator="lessThan">
      <formula>F13+$I$13</formula>
    </cfRule>
  </conditionalFormatting>
  <conditionalFormatting sqref="H13">
    <cfRule type="cellIs" dxfId="781" priority="80" stopIfTrue="1" operator="equal">
      <formula>"May be visited"</formula>
    </cfRule>
  </conditionalFormatting>
  <conditionalFormatting sqref="H13">
    <cfRule type="cellIs" dxfId="780" priority="81" stopIfTrue="1" operator="equal">
      <formula>"Don't visit"</formula>
    </cfRule>
  </conditionalFormatting>
  <conditionalFormatting sqref="I13">
    <cfRule type="cellIs" dxfId="779" priority="82" stopIfTrue="1" operator="greaterThan">
      <formula>G13-F13 + 0.0001</formula>
    </cfRule>
  </conditionalFormatting>
  <conditionalFormatting sqref="A14">
    <cfRule type="expression" dxfId="778" priority="83" stopIfTrue="1">
      <formula>ISBLANK(A14)</formula>
    </cfRule>
  </conditionalFormatting>
  <conditionalFormatting sqref="B14">
    <cfRule type="expression" dxfId="777" priority="84" stopIfTrue="1">
      <formula>ISBLANK(B14)</formula>
    </cfRule>
  </conditionalFormatting>
  <conditionalFormatting sqref="F14">
    <cfRule type="cellIs" dxfId="776" priority="85" stopIfTrue="1" operator="greaterThan">
      <formula>G14-$I$14</formula>
    </cfRule>
  </conditionalFormatting>
  <conditionalFormatting sqref="G14">
    <cfRule type="cellIs" dxfId="775" priority="86" stopIfTrue="1" operator="lessThan">
      <formula>F14+$I$14</formula>
    </cfRule>
  </conditionalFormatting>
  <conditionalFormatting sqref="H14">
    <cfRule type="cellIs" dxfId="774" priority="87" stopIfTrue="1" operator="equal">
      <formula>"May be visited"</formula>
    </cfRule>
  </conditionalFormatting>
  <conditionalFormatting sqref="H14">
    <cfRule type="cellIs" dxfId="773" priority="88" stopIfTrue="1" operator="equal">
      <formula>"Don't visit"</formula>
    </cfRule>
  </conditionalFormatting>
  <conditionalFormatting sqref="I14">
    <cfRule type="cellIs" dxfId="772" priority="89" stopIfTrue="1" operator="greaterThan">
      <formula>G14-F14 + 0.0001</formula>
    </cfRule>
  </conditionalFormatting>
  <conditionalFormatting sqref="A15">
    <cfRule type="expression" dxfId="771" priority="90" stopIfTrue="1">
      <formula>ISBLANK(A15)</formula>
    </cfRule>
  </conditionalFormatting>
  <conditionalFormatting sqref="B15">
    <cfRule type="expression" dxfId="770" priority="91" stopIfTrue="1">
      <formula>ISBLANK(B15)</formula>
    </cfRule>
  </conditionalFormatting>
  <conditionalFormatting sqref="F15">
    <cfRule type="cellIs" dxfId="769" priority="92" stopIfTrue="1" operator="greaterThan">
      <formula>G15-$I$15</formula>
    </cfRule>
  </conditionalFormatting>
  <conditionalFormatting sqref="G15">
    <cfRule type="cellIs" dxfId="768" priority="93" stopIfTrue="1" operator="lessThan">
      <formula>F15+$I$15</formula>
    </cfRule>
  </conditionalFormatting>
  <conditionalFormatting sqref="H15">
    <cfRule type="cellIs" dxfId="767" priority="94" stopIfTrue="1" operator="equal">
      <formula>"May be visited"</formula>
    </cfRule>
  </conditionalFormatting>
  <conditionalFormatting sqref="H15">
    <cfRule type="cellIs" dxfId="766" priority="95" stopIfTrue="1" operator="equal">
      <formula>"Don't visit"</formula>
    </cfRule>
  </conditionalFormatting>
  <conditionalFormatting sqref="I15">
    <cfRule type="cellIs" dxfId="765" priority="96" stopIfTrue="1" operator="greaterThan">
      <formula>G15-F15 + 0.0001</formula>
    </cfRule>
  </conditionalFormatting>
  <conditionalFormatting sqref="A16">
    <cfRule type="expression" dxfId="764" priority="97" stopIfTrue="1">
      <formula>ISBLANK(A16)</formula>
    </cfRule>
  </conditionalFormatting>
  <conditionalFormatting sqref="B16">
    <cfRule type="expression" dxfId="763" priority="98" stopIfTrue="1">
      <formula>ISBLANK(B16)</formula>
    </cfRule>
  </conditionalFormatting>
  <conditionalFormatting sqref="F16">
    <cfRule type="cellIs" dxfId="762" priority="99" stopIfTrue="1" operator="greaterThan">
      <formula>G16-$I$16</formula>
    </cfRule>
  </conditionalFormatting>
  <conditionalFormatting sqref="G16">
    <cfRule type="cellIs" dxfId="761" priority="100" stopIfTrue="1" operator="lessThan">
      <formula>F16+$I$16</formula>
    </cfRule>
  </conditionalFormatting>
  <conditionalFormatting sqref="H16">
    <cfRule type="cellIs" dxfId="760" priority="101" stopIfTrue="1" operator="equal">
      <formula>"May be visited"</formula>
    </cfRule>
  </conditionalFormatting>
  <conditionalFormatting sqref="H16">
    <cfRule type="cellIs" dxfId="759" priority="102" stopIfTrue="1" operator="equal">
      <formula>"Don't visit"</formula>
    </cfRule>
  </conditionalFormatting>
  <conditionalFormatting sqref="I16">
    <cfRule type="cellIs" dxfId="758" priority="103" stopIfTrue="1" operator="greaterThan">
      <formula>G16-F16 + 0.0001</formula>
    </cfRule>
  </conditionalFormatting>
  <conditionalFormatting sqref="A17">
    <cfRule type="expression" dxfId="757" priority="104" stopIfTrue="1">
      <formula>ISBLANK(A17)</formula>
    </cfRule>
  </conditionalFormatting>
  <conditionalFormatting sqref="B17">
    <cfRule type="expression" dxfId="756" priority="105" stopIfTrue="1">
      <formula>ISBLANK(B17)</formula>
    </cfRule>
  </conditionalFormatting>
  <conditionalFormatting sqref="F17">
    <cfRule type="cellIs" dxfId="755" priority="106" stopIfTrue="1" operator="greaterThan">
      <formula>G17-$I$17</formula>
    </cfRule>
  </conditionalFormatting>
  <conditionalFormatting sqref="G17">
    <cfRule type="cellIs" dxfId="754" priority="107" stopIfTrue="1" operator="lessThan">
      <formula>F17+$I$17</formula>
    </cfRule>
  </conditionalFormatting>
  <conditionalFormatting sqref="H17">
    <cfRule type="cellIs" dxfId="753" priority="108" stopIfTrue="1" operator="equal">
      <formula>"May be visited"</formula>
    </cfRule>
  </conditionalFormatting>
  <conditionalFormatting sqref="H17">
    <cfRule type="cellIs" dxfId="752" priority="109" stopIfTrue="1" operator="equal">
      <formula>"Don't visit"</formula>
    </cfRule>
  </conditionalFormatting>
  <conditionalFormatting sqref="I17">
    <cfRule type="cellIs" dxfId="751" priority="110" stopIfTrue="1" operator="greaterThan">
      <formula>G17-F17 + 0.0001</formula>
    </cfRule>
  </conditionalFormatting>
  <conditionalFormatting sqref="A18">
    <cfRule type="expression" dxfId="750" priority="111" stopIfTrue="1">
      <formula>ISBLANK(A18)</formula>
    </cfRule>
  </conditionalFormatting>
  <conditionalFormatting sqref="B18">
    <cfRule type="expression" dxfId="749" priority="112" stopIfTrue="1">
      <formula>ISBLANK(B18)</formula>
    </cfRule>
  </conditionalFormatting>
  <conditionalFormatting sqref="F18">
    <cfRule type="cellIs" dxfId="748" priority="113" stopIfTrue="1" operator="greaterThan">
      <formula>G18-$I$18</formula>
    </cfRule>
  </conditionalFormatting>
  <conditionalFormatting sqref="G18">
    <cfRule type="cellIs" dxfId="747" priority="114" stopIfTrue="1" operator="lessThan">
      <formula>F18+$I$18</formula>
    </cfRule>
  </conditionalFormatting>
  <conditionalFormatting sqref="H18">
    <cfRule type="cellIs" dxfId="746" priority="115" stopIfTrue="1" operator="equal">
      <formula>"May be visited"</formula>
    </cfRule>
  </conditionalFormatting>
  <conditionalFormatting sqref="H18">
    <cfRule type="cellIs" dxfId="745" priority="116" stopIfTrue="1" operator="equal">
      <formula>"Don't visit"</formula>
    </cfRule>
  </conditionalFormatting>
  <conditionalFormatting sqref="I18">
    <cfRule type="cellIs" dxfId="744" priority="117" stopIfTrue="1" operator="greaterThan">
      <formula>G18-F18 + 0.0001</formula>
    </cfRule>
  </conditionalFormatting>
  <conditionalFormatting sqref="A19">
    <cfRule type="expression" dxfId="743" priority="118" stopIfTrue="1">
      <formula>ISBLANK(A19)</formula>
    </cfRule>
  </conditionalFormatting>
  <conditionalFormatting sqref="B19">
    <cfRule type="expression" dxfId="742" priority="119" stopIfTrue="1">
      <formula>ISBLANK(B19)</formula>
    </cfRule>
  </conditionalFormatting>
  <conditionalFormatting sqref="F19">
    <cfRule type="cellIs" dxfId="741" priority="120" stopIfTrue="1" operator="greaterThan">
      <formula>G19-$I$19</formula>
    </cfRule>
  </conditionalFormatting>
  <conditionalFormatting sqref="G19">
    <cfRule type="cellIs" dxfId="740" priority="121" stopIfTrue="1" operator="lessThan">
      <formula>F19+$I$19</formula>
    </cfRule>
  </conditionalFormatting>
  <conditionalFormatting sqref="H19">
    <cfRule type="cellIs" dxfId="739" priority="122" stopIfTrue="1" operator="equal">
      <formula>"May be visited"</formula>
    </cfRule>
  </conditionalFormatting>
  <conditionalFormatting sqref="H19">
    <cfRule type="cellIs" dxfId="738" priority="123" stopIfTrue="1" operator="equal">
      <formula>"Don't visit"</formula>
    </cfRule>
  </conditionalFormatting>
  <conditionalFormatting sqref="I19">
    <cfRule type="cellIs" dxfId="737" priority="124" stopIfTrue="1" operator="greaterThan">
      <formula>G19-F19 + 0.0001</formula>
    </cfRule>
  </conditionalFormatting>
  <conditionalFormatting sqref="A20">
    <cfRule type="expression" dxfId="736" priority="125" stopIfTrue="1">
      <formula>ISBLANK(A20)</formula>
    </cfRule>
  </conditionalFormatting>
  <conditionalFormatting sqref="B20">
    <cfRule type="expression" dxfId="735" priority="126" stopIfTrue="1">
      <formula>ISBLANK(B20)</formula>
    </cfRule>
  </conditionalFormatting>
  <conditionalFormatting sqref="F20">
    <cfRule type="cellIs" dxfId="734" priority="127" stopIfTrue="1" operator="greaterThan">
      <formula>G20-$I$20</formula>
    </cfRule>
  </conditionalFormatting>
  <conditionalFormatting sqref="G20">
    <cfRule type="cellIs" dxfId="733" priority="128" stopIfTrue="1" operator="lessThan">
      <formula>F20+$I$20</formula>
    </cfRule>
  </conditionalFormatting>
  <conditionalFormatting sqref="H20">
    <cfRule type="cellIs" dxfId="732" priority="129" stopIfTrue="1" operator="equal">
      <formula>"May be visited"</formula>
    </cfRule>
  </conditionalFormatting>
  <conditionalFormatting sqref="H20">
    <cfRule type="cellIs" dxfId="731" priority="130" stopIfTrue="1" operator="equal">
      <formula>"Don't visit"</formula>
    </cfRule>
  </conditionalFormatting>
  <conditionalFormatting sqref="I20">
    <cfRule type="cellIs" dxfId="730" priority="131" stopIfTrue="1" operator="greaterThan">
      <formula>G20-F20 + 0.0001</formula>
    </cfRule>
  </conditionalFormatting>
  <conditionalFormatting sqref="A21">
    <cfRule type="expression" dxfId="729" priority="132" stopIfTrue="1">
      <formula>ISBLANK(A21)</formula>
    </cfRule>
  </conditionalFormatting>
  <conditionalFormatting sqref="B21">
    <cfRule type="expression" dxfId="728" priority="133" stopIfTrue="1">
      <formula>ISBLANK(B21)</formula>
    </cfRule>
  </conditionalFormatting>
  <conditionalFormatting sqref="F21">
    <cfRule type="cellIs" dxfId="727" priority="134" stopIfTrue="1" operator="greaterThan">
      <formula>G21-$I$21</formula>
    </cfRule>
  </conditionalFormatting>
  <conditionalFormatting sqref="G21">
    <cfRule type="cellIs" dxfId="726" priority="135" stopIfTrue="1" operator="lessThan">
      <formula>F21+$I$21</formula>
    </cfRule>
  </conditionalFormatting>
  <conditionalFormatting sqref="H21">
    <cfRule type="cellIs" dxfId="725" priority="136" stopIfTrue="1" operator="equal">
      <formula>"May be visited"</formula>
    </cfRule>
  </conditionalFormatting>
  <conditionalFormatting sqref="H21">
    <cfRule type="cellIs" dxfId="724" priority="137" stopIfTrue="1" operator="equal">
      <formula>"Don't visit"</formula>
    </cfRule>
  </conditionalFormatting>
  <conditionalFormatting sqref="I21">
    <cfRule type="cellIs" dxfId="723" priority="138" stopIfTrue="1" operator="greaterThan">
      <formula>G21-F21 + 0.0001</formula>
    </cfRule>
  </conditionalFormatting>
  <conditionalFormatting sqref="J3:J21">
    <cfRule type="cellIs" dxfId="722" priority="139" stopIfTrue="1" operator="lessThan">
      <formula>0</formula>
    </cfRule>
  </conditionalFormatting>
  <conditionalFormatting sqref="B2:B21">
    <cfRule type="duplicateValues" dxfId="721" priority="140"/>
  </conditionalFormatting>
  <dataValidations count="21">
    <dataValidation type="decimal" operator="greaterThan" allowBlank="1" showInputMessage="1" showErrorMessage="1" error="Please enter a nonnegative value" sqref="K2" xr:uid="{50043FEB-27A7-46FB-9CD9-8F7CACAE0A41}">
      <formula1>-0.0001</formula1>
    </dataValidation>
    <dataValidation type="list" allowBlank="1" showInputMessage="1" showErrorMessage="1" sqref="H3 H4 H5 H6 H7 H8 H9 H10 H11 H12 H13 H14 H15 H16 H17 H18 H19 H20 H21" xr:uid="{901E2203-89A3-4C21-A5A0-91FF2E364946}">
      <formula1>"Must be visited, May be visited, Don't visit"</formula1>
    </dataValidation>
    <dataValidation type="decimal" operator="greaterThan" allowBlank="1" showInputMessage="1" showErrorMessage="1" error="Please enter a nonnegative value" sqref="K3" xr:uid="{493689A0-BBB7-427D-896B-C05FBAF455C9}">
      <formula1>-0.0001</formula1>
    </dataValidation>
    <dataValidation type="decimal" operator="greaterThan" allowBlank="1" showInputMessage="1" showErrorMessage="1" error="Please enter a nonnegative value" sqref="K4" xr:uid="{64ABD79C-0541-435B-B7F6-4D766C1C1B9D}">
      <formula1>-0.0001</formula1>
    </dataValidation>
    <dataValidation type="decimal" operator="greaterThan" allowBlank="1" showInputMessage="1" showErrorMessage="1" error="Please enter a nonnegative value" sqref="K5" xr:uid="{FA4F0993-CF1F-4B7A-9484-4503B3127A52}">
      <formula1>-0.0001</formula1>
    </dataValidation>
    <dataValidation type="decimal" operator="greaterThan" allowBlank="1" showInputMessage="1" showErrorMessage="1" error="Please enter a nonnegative value" sqref="K6" xr:uid="{5B473E4A-0048-4110-A839-30CF843F0948}">
      <formula1>-0.0001</formula1>
    </dataValidation>
    <dataValidation type="decimal" operator="greaterThan" allowBlank="1" showInputMessage="1" showErrorMessage="1" error="Please enter a nonnegative value" sqref="K7" xr:uid="{523F16FE-837E-4F5A-830D-D74C2B75F900}">
      <formula1>-0.0001</formula1>
    </dataValidation>
    <dataValidation type="decimal" operator="greaterThan" allowBlank="1" showInputMessage="1" showErrorMessage="1" error="Please enter a nonnegative value" sqref="K8" xr:uid="{2C7EBA58-E337-4E63-926B-55403834C81E}">
      <formula1>-0.0001</formula1>
    </dataValidation>
    <dataValidation type="decimal" operator="greaterThan" allowBlank="1" showInputMessage="1" showErrorMessage="1" error="Please enter a nonnegative value" sqref="K9" xr:uid="{F9DD319F-C82C-4387-B72F-10A2FC2F60A6}">
      <formula1>-0.0001</formula1>
    </dataValidation>
    <dataValidation type="decimal" operator="greaterThan" allowBlank="1" showInputMessage="1" showErrorMessage="1" error="Please enter a nonnegative value" sqref="K10" xr:uid="{5EB62C3E-6956-4B59-B32D-56483C05D179}">
      <formula1>-0.0001</formula1>
    </dataValidation>
    <dataValidation type="decimal" operator="greaterThan" allowBlank="1" showInputMessage="1" showErrorMessage="1" error="Please enter a nonnegative value" sqref="K11" xr:uid="{08449E56-A5E3-44C3-B8C2-138B90D13C6B}">
      <formula1>-0.0001</formula1>
    </dataValidation>
    <dataValidation type="decimal" operator="greaterThan" allowBlank="1" showInputMessage="1" showErrorMessage="1" error="Please enter a nonnegative value" sqref="K12" xr:uid="{DFCDFD47-8CFE-4B1E-B426-6283F5A12D20}">
      <formula1>-0.0001</formula1>
    </dataValidation>
    <dataValidation type="decimal" operator="greaterThan" allowBlank="1" showInputMessage="1" showErrorMessage="1" error="Please enter a nonnegative value" sqref="K13" xr:uid="{2A27E5F1-F588-4372-8196-17891B111E41}">
      <formula1>-0.0001</formula1>
    </dataValidation>
    <dataValidation type="decimal" operator="greaterThan" allowBlank="1" showInputMessage="1" showErrorMessage="1" error="Please enter a nonnegative value" sqref="K14" xr:uid="{7A227A18-1235-4AF9-A76C-B6A51D23CF66}">
      <formula1>-0.0001</formula1>
    </dataValidation>
    <dataValidation type="decimal" operator="greaterThan" allowBlank="1" showInputMessage="1" showErrorMessage="1" error="Please enter a nonnegative value" sqref="K15" xr:uid="{323AFC9D-5E32-4146-88B8-E6085AC299EC}">
      <formula1>-0.0001</formula1>
    </dataValidation>
    <dataValidation type="decimal" operator="greaterThan" allowBlank="1" showInputMessage="1" showErrorMessage="1" error="Please enter a nonnegative value" sqref="K16" xr:uid="{37DBF6D0-03E3-4EA5-8733-37EAD37CC5D3}">
      <formula1>-0.0001</formula1>
    </dataValidation>
    <dataValidation type="decimal" operator="greaterThan" allowBlank="1" showInputMessage="1" showErrorMessage="1" error="Please enter a nonnegative value" sqref="K17" xr:uid="{CEF3398C-C79D-47A2-B0AF-99EE05ABE253}">
      <formula1>-0.0001</formula1>
    </dataValidation>
    <dataValidation type="decimal" operator="greaterThan" allowBlank="1" showInputMessage="1" showErrorMessage="1" error="Please enter a nonnegative value" sqref="K18" xr:uid="{DB5F79AF-9337-4244-ABAC-1D796AF3A6F5}">
      <formula1>-0.0001</formula1>
    </dataValidation>
    <dataValidation type="decimal" operator="greaterThan" allowBlank="1" showInputMessage="1" showErrorMessage="1" error="Please enter a nonnegative value" sqref="K19" xr:uid="{42F2D2DF-B360-4F8F-B9EE-D9379CC6C60D}">
      <formula1>-0.0001</formula1>
    </dataValidation>
    <dataValidation type="decimal" operator="greaterThan" allowBlank="1" showInputMessage="1" showErrorMessage="1" error="Please enter a nonnegative value" sqref="K20" xr:uid="{2A78E87B-53B4-4123-A737-26C8100DA1A0}">
      <formula1>-0.0001</formula1>
    </dataValidation>
    <dataValidation type="decimal" operator="greaterThan" allowBlank="1" showInputMessage="1" showErrorMessage="1" error="Please enter a nonnegative value" sqref="K21" xr:uid="{C9963A92-71B0-4DB6-A83E-E58235CB706E}">
      <formula1>-0.0001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E37BC-5D49-4529-92F5-8BFD60C49CB6}">
  <dimension ref="A1:F401"/>
  <sheetViews>
    <sheetView topLeftCell="A177" workbookViewId="0">
      <selection activeCell="C197" sqref="C197"/>
    </sheetView>
  </sheetViews>
  <sheetFormatPr defaultRowHeight="14.4" x14ac:dyDescent="0.3"/>
  <cols>
    <col min="1" max="2" width="11.33203125" bestFit="1" customWidth="1"/>
    <col min="3" max="3" width="8.109375" bestFit="1" customWidth="1"/>
    <col min="4" max="5" width="8.33203125" bestFit="1" customWidth="1"/>
    <col min="6" max="6" width="23.77734375" customWidth="1"/>
  </cols>
  <sheetData>
    <row r="1" spans="1:6" x14ac:dyDescent="0.3">
      <c r="A1" s="9" t="s">
        <v>74</v>
      </c>
      <c r="B1" s="9" t="s">
        <v>75</v>
      </c>
      <c r="C1" s="9" t="s">
        <v>76</v>
      </c>
      <c r="D1" s="9" t="s">
        <v>77</v>
      </c>
      <c r="E1" s="9" t="s">
        <v>78</v>
      </c>
      <c r="F1" s="9" t="s">
        <v>115</v>
      </c>
    </row>
    <row r="2" spans="1:6" x14ac:dyDescent="0.3">
      <c r="A2" s="12" t="s">
        <v>52</v>
      </c>
      <c r="B2" s="12" t="s">
        <v>52</v>
      </c>
      <c r="C2" s="41">
        <v>0</v>
      </c>
      <c r="D2" s="42">
        <v>0</v>
      </c>
    </row>
    <row r="3" spans="1:6" x14ac:dyDescent="0.3">
      <c r="A3" s="16" t="s">
        <v>52</v>
      </c>
      <c r="B3" s="16" t="s">
        <v>54</v>
      </c>
      <c r="C3" s="44">
        <v>45.262125447221322</v>
      </c>
      <c r="D3" s="17">
        <f xml:space="preserve"> C3 / (24 * 'VRP Solver Console'!C10)</f>
        <v>2.694174133763174E-2</v>
      </c>
    </row>
    <row r="4" spans="1:6" x14ac:dyDescent="0.3">
      <c r="A4" s="16" t="s">
        <v>52</v>
      </c>
      <c r="B4" s="16" t="s">
        <v>56</v>
      </c>
      <c r="C4" s="45">
        <v>29.697137909232943</v>
      </c>
      <c r="D4" s="18">
        <f xml:space="preserve"> C4 / (24 * 'VRP Solver Console'!C10)</f>
        <v>1.7676867803114848E-2</v>
      </c>
    </row>
    <row r="5" spans="1:6" x14ac:dyDescent="0.3">
      <c r="A5" s="16" t="s">
        <v>52</v>
      </c>
      <c r="B5" s="16" t="s">
        <v>57</v>
      </c>
      <c r="C5" s="44">
        <v>50.474746160827792</v>
      </c>
      <c r="D5" s="17">
        <f xml:space="preserve"> C5 / (24 * 'VRP Solver Console'!C10)</f>
        <v>3.0044491762397495E-2</v>
      </c>
    </row>
    <row r="6" spans="1:6" x14ac:dyDescent="0.3">
      <c r="A6" s="16" t="s">
        <v>52</v>
      </c>
      <c r="B6" s="16" t="s">
        <v>58</v>
      </c>
      <c r="C6" s="45">
        <v>43.319510615887623</v>
      </c>
      <c r="D6" s="18">
        <f xml:space="preserve"> C6 / (24 * 'VRP Solver Console'!C10)</f>
        <v>2.5785422985647396E-2</v>
      </c>
    </row>
    <row r="7" spans="1:6" x14ac:dyDescent="0.3">
      <c r="A7" s="16" t="s">
        <v>52</v>
      </c>
      <c r="B7" s="16" t="s">
        <v>59</v>
      </c>
      <c r="C7" s="44">
        <v>29.433314458280094</v>
      </c>
      <c r="D7" s="17">
        <f xml:space="preserve"> C7 / (24 * 'VRP Solver Console'!C10)</f>
        <v>1.7519830034690532E-2</v>
      </c>
    </row>
    <row r="8" spans="1:6" x14ac:dyDescent="0.3">
      <c r="A8" s="16" t="s">
        <v>52</v>
      </c>
      <c r="B8" s="16" t="s">
        <v>60</v>
      </c>
      <c r="C8" s="45">
        <v>32.966043135323353</v>
      </c>
      <c r="D8" s="18">
        <f xml:space="preserve"> C8 / (24 * 'VRP Solver Console'!C10)</f>
        <v>1.962264472340676E-2</v>
      </c>
    </row>
    <row r="9" spans="1:6" x14ac:dyDescent="0.3">
      <c r="A9" s="16" t="s">
        <v>52</v>
      </c>
      <c r="B9" s="16" t="s">
        <v>61</v>
      </c>
      <c r="C9" s="44">
        <v>59.718087712183149</v>
      </c>
      <c r="D9" s="17">
        <f xml:space="preserve"> C9 / (24 * 'VRP Solver Console'!C10)</f>
        <v>3.5546480781061401E-2</v>
      </c>
    </row>
    <row r="10" spans="1:6" x14ac:dyDescent="0.3">
      <c r="A10" s="16" t="s">
        <v>52</v>
      </c>
      <c r="B10" s="16" t="s">
        <v>62</v>
      </c>
      <c r="C10" s="45">
        <v>56.337909084381188</v>
      </c>
      <c r="D10" s="18">
        <f xml:space="preserve"> C10 / (24 * 'VRP Solver Console'!C10)</f>
        <v>3.3534469693084039E-2</v>
      </c>
    </row>
    <row r="11" spans="1:6" x14ac:dyDescent="0.3">
      <c r="A11" s="16" t="s">
        <v>52</v>
      </c>
      <c r="B11" s="16" t="s">
        <v>63</v>
      </c>
      <c r="C11" s="44">
        <v>14.773286702694158</v>
      </c>
      <c r="D11" s="17">
        <f xml:space="preserve"> C11 / (24 * 'VRP Solver Console'!C10)</f>
        <v>8.7936230373179512E-3</v>
      </c>
    </row>
    <row r="12" spans="1:6" x14ac:dyDescent="0.3">
      <c r="A12" s="16" t="s">
        <v>52</v>
      </c>
      <c r="B12" s="16" t="s">
        <v>64</v>
      </c>
      <c r="C12" s="45">
        <v>49.417102302745356</v>
      </c>
      <c r="D12" s="18">
        <f xml:space="preserve"> C12 / (24 * 'VRP Solver Console'!C10)</f>
        <v>2.9414941846872236E-2</v>
      </c>
    </row>
    <row r="13" spans="1:6" x14ac:dyDescent="0.3">
      <c r="A13" s="16" t="s">
        <v>52</v>
      </c>
      <c r="B13" s="16" t="s">
        <v>65</v>
      </c>
      <c r="C13" s="44">
        <v>56.82904187121229</v>
      </c>
      <c r="D13" s="17">
        <f xml:space="preserve"> C13 / (24 * 'VRP Solver Console'!C10)</f>
        <v>3.382681063762636E-2</v>
      </c>
    </row>
    <row r="14" spans="1:6" x14ac:dyDescent="0.3">
      <c r="A14" s="16" t="s">
        <v>52</v>
      </c>
      <c r="B14" s="16" t="s">
        <v>66</v>
      </c>
      <c r="C14" s="45">
        <v>59.052603668254967</v>
      </c>
      <c r="D14" s="18">
        <f xml:space="preserve"> C14 / (24 * 'VRP Solver Console'!C10)</f>
        <v>3.5150359326342244E-2</v>
      </c>
    </row>
    <row r="15" spans="1:6" x14ac:dyDescent="0.3">
      <c r="A15" s="16" t="s">
        <v>52</v>
      </c>
      <c r="B15" s="16" t="s">
        <v>67</v>
      </c>
      <c r="C15" s="44">
        <v>48.54080757465826</v>
      </c>
      <c r="D15" s="17">
        <f xml:space="preserve"> C15 / (24 * 'VRP Solver Console'!C10)</f>
        <v>2.8893337842058487E-2</v>
      </c>
    </row>
    <row r="16" spans="1:6" x14ac:dyDescent="0.3">
      <c r="A16" s="16" t="s">
        <v>52</v>
      </c>
      <c r="B16" s="16" t="s">
        <v>68</v>
      </c>
      <c r="C16" s="45">
        <v>27.115493725912497</v>
      </c>
      <c r="D16" s="18">
        <f xml:space="preserve"> C16 / (24 * 'VRP Solver Console'!C10)</f>
        <v>1.6140174836852678E-2</v>
      </c>
    </row>
    <row r="17" spans="1:4" x14ac:dyDescent="0.3">
      <c r="A17" s="16" t="s">
        <v>52</v>
      </c>
      <c r="B17" s="16" t="s">
        <v>69</v>
      </c>
      <c r="C17" s="44">
        <v>19.20963300013824</v>
      </c>
      <c r="D17" s="17">
        <f xml:space="preserve"> C17 / (24 * 'VRP Solver Console'!C10)</f>
        <v>1.1434305357225142E-2</v>
      </c>
    </row>
    <row r="18" spans="1:4" x14ac:dyDescent="0.3">
      <c r="A18" s="16" t="s">
        <v>52</v>
      </c>
      <c r="B18" s="16" t="s">
        <v>70</v>
      </c>
      <c r="C18" s="45">
        <v>25.679758565843251</v>
      </c>
      <c r="D18" s="18">
        <f xml:space="preserve"> C18 / (24 * 'VRP Solver Console'!C10)</f>
        <v>1.5285570574906697E-2</v>
      </c>
    </row>
    <row r="19" spans="1:4" x14ac:dyDescent="0.3">
      <c r="A19" s="16" t="s">
        <v>52</v>
      </c>
      <c r="B19" s="16" t="s">
        <v>71</v>
      </c>
      <c r="C19" s="44">
        <v>40.563160626361451</v>
      </c>
      <c r="D19" s="17">
        <f xml:space="preserve"> C19 / (24 * 'VRP Solver Console'!C10)</f>
        <v>2.4144738468072292E-2</v>
      </c>
    </row>
    <row r="20" spans="1:4" x14ac:dyDescent="0.3">
      <c r="A20" s="16" t="s">
        <v>52</v>
      </c>
      <c r="B20" s="16" t="s">
        <v>72</v>
      </c>
      <c r="C20" s="45">
        <v>59.853989006581678</v>
      </c>
      <c r="D20" s="18">
        <f xml:space="preserve"> C20 / (24 * 'VRP Solver Console'!C10)</f>
        <v>3.5627374408679573E-2</v>
      </c>
    </row>
    <row r="21" spans="1:4" x14ac:dyDescent="0.3">
      <c r="A21" s="16" t="s">
        <v>52</v>
      </c>
      <c r="B21" s="16" t="s">
        <v>73</v>
      </c>
      <c r="C21" s="44">
        <v>50.427869278802575</v>
      </c>
      <c r="D21" s="17">
        <f xml:space="preserve"> C21 / (24 * 'VRP Solver Console'!C10)</f>
        <v>3.0016588856430104E-2</v>
      </c>
    </row>
    <row r="22" spans="1:4" x14ac:dyDescent="0.3">
      <c r="A22" s="16" t="s">
        <v>54</v>
      </c>
      <c r="B22" s="16" t="s">
        <v>52</v>
      </c>
      <c r="C22" s="45">
        <v>45.262125447221322</v>
      </c>
      <c r="D22" s="18">
        <f xml:space="preserve"> C22 / (24 * 'VRP Solver Console'!C10)</f>
        <v>2.694174133763174E-2</v>
      </c>
    </row>
    <row r="23" spans="1:4" x14ac:dyDescent="0.3">
      <c r="A23" s="16" t="s">
        <v>54</v>
      </c>
      <c r="B23" s="16" t="s">
        <v>54</v>
      </c>
      <c r="C23" s="44">
        <v>0</v>
      </c>
      <c r="D23" s="17">
        <v>0</v>
      </c>
    </row>
    <row r="24" spans="1:4" x14ac:dyDescent="0.3">
      <c r="A24" s="16" t="s">
        <v>54</v>
      </c>
      <c r="B24" s="16" t="s">
        <v>56</v>
      </c>
      <c r="C24" s="45">
        <v>66.445917858059573</v>
      </c>
      <c r="D24" s="18">
        <f xml:space="preserve"> C24 / (24 * 'VRP Solver Console'!C10)</f>
        <v>3.9551141582178317E-2</v>
      </c>
    </row>
    <row r="25" spans="1:4" x14ac:dyDescent="0.3">
      <c r="A25" s="16" t="s">
        <v>54</v>
      </c>
      <c r="B25" s="16" t="s">
        <v>57</v>
      </c>
      <c r="C25" s="44">
        <v>35.136875216786144</v>
      </c>
      <c r="D25" s="17">
        <f xml:space="preserve"> C25 / (24 * 'VRP Solver Console'!C10)</f>
        <v>2.0914806676658418E-2</v>
      </c>
    </row>
    <row r="26" spans="1:4" x14ac:dyDescent="0.3">
      <c r="A26" s="16" t="s">
        <v>54</v>
      </c>
      <c r="B26" s="16" t="s">
        <v>58</v>
      </c>
      <c r="C26" s="45">
        <v>38.225645841502796</v>
      </c>
      <c r="D26" s="18">
        <f xml:space="preserve"> C26 / (24 * 'VRP Solver Console'!C10)</f>
        <v>2.275336061994214E-2</v>
      </c>
    </row>
    <row r="27" spans="1:4" x14ac:dyDescent="0.3">
      <c r="A27" s="16" t="s">
        <v>54</v>
      </c>
      <c r="B27" s="16" t="s">
        <v>59</v>
      </c>
      <c r="C27" s="44">
        <v>25.578506602223673</v>
      </c>
      <c r="D27" s="17">
        <f xml:space="preserve"> C27 / (24 * 'VRP Solver Console'!C10)</f>
        <v>1.5225301548942662E-2</v>
      </c>
    </row>
    <row r="28" spans="1:4" x14ac:dyDescent="0.3">
      <c r="A28" s="16" t="s">
        <v>54</v>
      </c>
      <c r="B28" s="16" t="s">
        <v>60</v>
      </c>
      <c r="C28" s="45">
        <v>77.340933534577914</v>
      </c>
      <c r="D28" s="18">
        <f xml:space="preserve"> C28 / (24 * 'VRP Solver Console'!C10)</f>
        <v>4.6036269961058279E-2</v>
      </c>
    </row>
    <row r="29" spans="1:4" x14ac:dyDescent="0.3">
      <c r="A29" s="16" t="s">
        <v>54</v>
      </c>
      <c r="B29" s="16" t="s">
        <v>61</v>
      </c>
      <c r="C29" s="44">
        <v>18.256231812726305</v>
      </c>
      <c r="D29" s="17">
        <f xml:space="preserve"> C29 / (24 * 'VRP Solver Console'!C10)</f>
        <v>1.0866804650432325E-2</v>
      </c>
    </row>
    <row r="30" spans="1:4" x14ac:dyDescent="0.3">
      <c r="A30" s="16" t="s">
        <v>54</v>
      </c>
      <c r="B30" s="16" t="s">
        <v>62</v>
      </c>
      <c r="C30" s="45">
        <v>65.173767729048777</v>
      </c>
      <c r="D30" s="18">
        <f xml:space="preserve"> C30 / (24 * 'VRP Solver Console'!C10)</f>
        <v>3.8793909362529036E-2</v>
      </c>
    </row>
    <row r="31" spans="1:4" x14ac:dyDescent="0.3">
      <c r="A31" s="16" t="s">
        <v>54</v>
      </c>
      <c r="B31" s="16" t="s">
        <v>63</v>
      </c>
      <c r="C31" s="44">
        <v>30.581203377238118</v>
      </c>
      <c r="D31" s="17">
        <f xml:space="preserve"> C31 / (24 * 'VRP Solver Console'!C10)</f>
        <v>1.8203097248356021E-2</v>
      </c>
    </row>
    <row r="32" spans="1:4" x14ac:dyDescent="0.3">
      <c r="A32" s="16" t="s">
        <v>54</v>
      </c>
      <c r="B32" s="16" t="s">
        <v>64</v>
      </c>
      <c r="C32" s="45">
        <v>34.1275548494175</v>
      </c>
      <c r="D32" s="18">
        <f xml:space="preserve"> C32 / (24 * 'VRP Solver Console'!C10)</f>
        <v>2.0314020743700891E-2</v>
      </c>
    </row>
    <row r="33" spans="1:4" x14ac:dyDescent="0.3">
      <c r="A33" s="16" t="s">
        <v>54</v>
      </c>
      <c r="B33" s="16" t="s">
        <v>65</v>
      </c>
      <c r="C33" s="44">
        <v>79.707966979468239</v>
      </c>
      <c r="D33" s="17">
        <f xml:space="preserve"> C33 / (24 * 'VRP Solver Console'!C10)</f>
        <v>4.7445218440159663E-2</v>
      </c>
    </row>
    <row r="34" spans="1:4" x14ac:dyDescent="0.3">
      <c r="A34" s="16" t="s">
        <v>54</v>
      </c>
      <c r="B34" s="16" t="s">
        <v>66</v>
      </c>
      <c r="C34" s="45">
        <v>68.67000800931946</v>
      </c>
      <c r="D34" s="18">
        <f xml:space="preserve"> C34 / (24 * 'VRP Solver Console'!C10)</f>
        <v>4.087500476745206E-2</v>
      </c>
    </row>
    <row r="35" spans="1:4" x14ac:dyDescent="0.3">
      <c r="A35" s="16" t="s">
        <v>54</v>
      </c>
      <c r="B35" s="16" t="s">
        <v>67</v>
      </c>
      <c r="C35" s="44">
        <v>51.00245092149985</v>
      </c>
      <c r="D35" s="17">
        <f xml:space="preserve"> C35 / (24 * 'VRP Solver Console'!C10)</f>
        <v>3.0358601738988005E-2</v>
      </c>
    </row>
    <row r="36" spans="1:4" x14ac:dyDescent="0.3">
      <c r="A36" s="16" t="s">
        <v>54</v>
      </c>
      <c r="B36" s="16" t="s">
        <v>68</v>
      </c>
      <c r="C36" s="45">
        <v>23.246720198772127</v>
      </c>
      <c r="D36" s="18">
        <f xml:space="preserve"> C36 / (24 * 'VRP Solver Console'!C10)</f>
        <v>1.3837333451650075E-2</v>
      </c>
    </row>
    <row r="37" spans="1:4" x14ac:dyDescent="0.3">
      <c r="A37" s="16" t="s">
        <v>54</v>
      </c>
      <c r="B37" s="16" t="s">
        <v>69</v>
      </c>
      <c r="C37" s="44">
        <v>27.952996261581688</v>
      </c>
      <c r="D37" s="17">
        <f xml:space="preserve"> C37 / (24 * 'VRP Solver Console'!C10)</f>
        <v>1.6638688250941482E-2</v>
      </c>
    </row>
    <row r="38" spans="1:4" x14ac:dyDescent="0.3">
      <c r="A38" s="16" t="s">
        <v>54</v>
      </c>
      <c r="B38" s="16" t="s">
        <v>70</v>
      </c>
      <c r="C38" s="45">
        <v>64.606269045658408</v>
      </c>
      <c r="D38" s="18">
        <f xml:space="preserve"> C38 / (24 * 'VRP Solver Console'!C10)</f>
        <v>3.8456112527177622E-2</v>
      </c>
    </row>
    <row r="39" spans="1:4" x14ac:dyDescent="0.3">
      <c r="A39" s="16" t="s">
        <v>54</v>
      </c>
      <c r="B39" s="16" t="s">
        <v>71</v>
      </c>
      <c r="C39" s="44">
        <v>63.547226532713445</v>
      </c>
      <c r="D39" s="17">
        <f xml:space="preserve"> C39 / (24 * 'VRP Solver Console'!C10)</f>
        <v>3.7825730078996096E-2</v>
      </c>
    </row>
    <row r="40" spans="1:4" x14ac:dyDescent="0.3">
      <c r="A40" s="16" t="s">
        <v>54</v>
      </c>
      <c r="B40" s="16" t="s">
        <v>72</v>
      </c>
      <c r="C40" s="45">
        <v>21.645322820415497</v>
      </c>
      <c r="D40" s="18">
        <f xml:space="preserve"> C40 / (24 * 'VRP Solver Console'!C10)</f>
        <v>1.2884120726437796E-2</v>
      </c>
    </row>
    <row r="41" spans="1:4" x14ac:dyDescent="0.3">
      <c r="A41" s="16" t="s">
        <v>54</v>
      </c>
      <c r="B41" s="16" t="s">
        <v>73</v>
      </c>
      <c r="C41" s="44">
        <v>76.97174806381885</v>
      </c>
      <c r="D41" s="17">
        <f xml:space="preserve"> C41 / (24 * 'VRP Solver Console'!C10)</f>
        <v>4.581651670465408E-2</v>
      </c>
    </row>
    <row r="42" spans="1:4" x14ac:dyDescent="0.3">
      <c r="A42" s="16" t="s">
        <v>56</v>
      </c>
      <c r="B42" s="16" t="s">
        <v>52</v>
      </c>
      <c r="C42" s="45">
        <v>29.697137909232943</v>
      </c>
      <c r="D42" s="18">
        <f xml:space="preserve"> C42 / (24 * 'VRP Solver Console'!C10)</f>
        <v>1.7676867803114848E-2</v>
      </c>
    </row>
    <row r="43" spans="1:4" x14ac:dyDescent="0.3">
      <c r="A43" s="16" t="s">
        <v>56</v>
      </c>
      <c r="B43" s="16" t="s">
        <v>54</v>
      </c>
      <c r="C43" s="44">
        <v>66.445917858059573</v>
      </c>
      <c r="D43" s="17">
        <f xml:space="preserve"> C43 / (24 * 'VRP Solver Console'!C10)</f>
        <v>3.9551141582178317E-2</v>
      </c>
    </row>
    <row r="44" spans="1:4" x14ac:dyDescent="0.3">
      <c r="A44" s="16" t="s">
        <v>56</v>
      </c>
      <c r="B44" s="16" t="s">
        <v>56</v>
      </c>
      <c r="C44" s="45">
        <v>0</v>
      </c>
      <c r="D44" s="18">
        <v>0</v>
      </c>
    </row>
    <row r="45" spans="1:4" x14ac:dyDescent="0.3">
      <c r="A45" s="16" t="s">
        <v>56</v>
      </c>
      <c r="B45" s="16" t="s">
        <v>57</v>
      </c>
      <c r="C45" s="44">
        <v>79.626251952481098</v>
      </c>
      <c r="D45" s="17">
        <f xml:space="preserve"> C45 / (24 * 'VRP Solver Console'!C10)</f>
        <v>4.7396578543143511E-2</v>
      </c>
    </row>
    <row r="46" spans="1:4" x14ac:dyDescent="0.3">
      <c r="A46" s="16" t="s">
        <v>56</v>
      </c>
      <c r="B46" s="16" t="s">
        <v>58</v>
      </c>
      <c r="C46" s="45">
        <v>44.52527372178637</v>
      </c>
      <c r="D46" s="18">
        <f xml:space="preserve"> C46 / (24 * 'VRP Solver Console'!C10)</f>
        <v>2.6503139120110934E-2</v>
      </c>
    </row>
    <row r="47" spans="1:4" x14ac:dyDescent="0.3">
      <c r="A47" s="16" t="s">
        <v>56</v>
      </c>
      <c r="B47" s="16" t="s">
        <v>59</v>
      </c>
      <c r="C47" s="44">
        <v>57.780965724016767</v>
      </c>
      <c r="D47" s="17">
        <f xml:space="preserve"> C47 / (24 * 'VRP Solver Console'!C10)</f>
        <v>3.4393431978581405E-2</v>
      </c>
    </row>
    <row r="48" spans="1:4" x14ac:dyDescent="0.3">
      <c r="A48" s="16" t="s">
        <v>56</v>
      </c>
      <c r="B48" s="16" t="s">
        <v>60</v>
      </c>
      <c r="C48" s="45">
        <v>37.791533443352101</v>
      </c>
      <c r="D48" s="18">
        <f xml:space="preserve"> C48 / (24 * 'VRP Solver Console'!C10)</f>
        <v>2.2494960382947678E-2</v>
      </c>
    </row>
    <row r="49" spans="1:4" x14ac:dyDescent="0.3">
      <c r="A49" s="16" t="s">
        <v>56</v>
      </c>
      <c r="B49" s="16" t="s">
        <v>61</v>
      </c>
      <c r="C49" s="44">
        <v>75.704755464897985</v>
      </c>
      <c r="D49" s="17">
        <f xml:space="preserve"> C49 / (24 * 'VRP Solver Console'!C10)</f>
        <v>4.5062354443391656E-2</v>
      </c>
    </row>
    <row r="50" spans="1:4" x14ac:dyDescent="0.3">
      <c r="A50" s="16" t="s">
        <v>56</v>
      </c>
      <c r="B50" s="16" t="s">
        <v>62</v>
      </c>
      <c r="C50" s="45">
        <v>84.542297106241449</v>
      </c>
      <c r="D50" s="18">
        <f xml:space="preserve"> C50 / (24 * 'VRP Solver Console'!C10)</f>
        <v>5.0322795896572292E-2</v>
      </c>
    </row>
    <row r="51" spans="1:4" x14ac:dyDescent="0.3">
      <c r="A51" s="16" t="s">
        <v>56</v>
      </c>
      <c r="B51" s="16" t="s">
        <v>63</v>
      </c>
      <c r="C51" s="44">
        <v>40.617360820220711</v>
      </c>
      <c r="D51" s="17">
        <f xml:space="preserve"> C51 / (24 * 'VRP Solver Console'!C10)</f>
        <v>2.4177000488226612E-2</v>
      </c>
    </row>
    <row r="52" spans="1:4" x14ac:dyDescent="0.3">
      <c r="A52" s="16" t="s">
        <v>56</v>
      </c>
      <c r="B52" s="16" t="s">
        <v>64</v>
      </c>
      <c r="C52" s="45">
        <v>78.520124808866683</v>
      </c>
      <c r="D52" s="18">
        <f xml:space="preserve"> C52 / (24 * 'VRP Solver Console'!C10)</f>
        <v>4.6738169529087312E-2</v>
      </c>
    </row>
    <row r="53" spans="1:4" x14ac:dyDescent="0.3">
      <c r="A53" s="16" t="s">
        <v>56</v>
      </c>
      <c r="B53" s="16" t="s">
        <v>65</v>
      </c>
      <c r="C53" s="44">
        <v>31.145144083789365</v>
      </c>
      <c r="D53" s="17">
        <f xml:space="preserve"> C53 / (24 * 'VRP Solver Console'!C10)</f>
        <v>1.8538776240350812E-2</v>
      </c>
    </row>
    <row r="54" spans="1:4" x14ac:dyDescent="0.3">
      <c r="A54" s="16" t="s">
        <v>56</v>
      </c>
      <c r="B54" s="16" t="s">
        <v>66</v>
      </c>
      <c r="C54" s="45">
        <v>86.924392433884748</v>
      </c>
      <c r="D54" s="18">
        <f xml:space="preserve"> C54 / (24 * 'VRP Solver Console'!C10)</f>
        <v>5.1740709782074255E-2</v>
      </c>
    </row>
    <row r="55" spans="1:4" x14ac:dyDescent="0.3">
      <c r="A55" s="16" t="s">
        <v>56</v>
      </c>
      <c r="B55" s="16" t="s">
        <v>67</v>
      </c>
      <c r="C55" s="44">
        <v>77.996217857021776</v>
      </c>
      <c r="D55" s="17">
        <f xml:space="preserve"> C55 / (24 * 'VRP Solver Console'!C10)</f>
        <v>4.6426320152989149E-2</v>
      </c>
    </row>
    <row r="56" spans="1:4" x14ac:dyDescent="0.3">
      <c r="A56" s="16" t="s">
        <v>56</v>
      </c>
      <c r="B56" s="16" t="s">
        <v>68</v>
      </c>
      <c r="C56" s="45">
        <v>54.541452125883119</v>
      </c>
      <c r="D56" s="18">
        <f xml:space="preserve"> C56 / (24 * 'VRP Solver Console'!C10)</f>
        <v>3.2465150074930428E-2</v>
      </c>
    </row>
    <row r="57" spans="1:4" x14ac:dyDescent="0.3">
      <c r="A57" s="16" t="s">
        <v>56</v>
      </c>
      <c r="B57" s="16" t="s">
        <v>69</v>
      </c>
      <c r="C57" s="44">
        <v>39.0103832331855</v>
      </c>
      <c r="D57" s="17">
        <f xml:space="preserve"> C57 / (24 * 'VRP Solver Console'!C10)</f>
        <v>2.3220466210229464E-2</v>
      </c>
    </row>
    <row r="58" spans="1:4" x14ac:dyDescent="0.3">
      <c r="A58" s="16" t="s">
        <v>56</v>
      </c>
      <c r="B58" s="16" t="s">
        <v>70</v>
      </c>
      <c r="C58" s="45">
        <v>44.690155515504756</v>
      </c>
      <c r="D58" s="18">
        <f xml:space="preserve"> C58 / (24 * 'VRP Solver Console'!C10)</f>
        <v>2.6601283044943306E-2</v>
      </c>
    </row>
    <row r="59" spans="1:4" x14ac:dyDescent="0.3">
      <c r="A59" s="16" t="s">
        <v>56</v>
      </c>
      <c r="B59" s="16" t="s">
        <v>71</v>
      </c>
      <c r="C59" s="44">
        <v>66.35005651843862</v>
      </c>
      <c r="D59" s="17">
        <f xml:space="preserve"> C59 / (24 * 'VRP Solver Console'!C10)</f>
        <v>3.9494081260975367E-2</v>
      </c>
    </row>
    <row r="60" spans="1:4" x14ac:dyDescent="0.3">
      <c r="A60" s="16" t="s">
        <v>56</v>
      </c>
      <c r="B60" s="16" t="s">
        <v>72</v>
      </c>
      <c r="C60" s="45">
        <v>73.724487112492014</v>
      </c>
      <c r="D60" s="18">
        <f xml:space="preserve"> C60 / (24 * 'VRP Solver Console'!C10)</f>
        <v>4.3883623281245246E-2</v>
      </c>
    </row>
    <row r="61" spans="1:4" x14ac:dyDescent="0.3">
      <c r="A61" s="16" t="s">
        <v>56</v>
      </c>
      <c r="B61" s="16" t="s">
        <v>73</v>
      </c>
      <c r="C61" s="44">
        <v>23.530618351416095</v>
      </c>
      <c r="D61" s="17">
        <f xml:space="preserve"> C61 / (24 * 'VRP Solver Console'!C10)</f>
        <v>1.4006320447271485E-2</v>
      </c>
    </row>
    <row r="62" spans="1:4" x14ac:dyDescent="0.3">
      <c r="A62" s="16" t="s">
        <v>57</v>
      </c>
      <c r="B62" s="16" t="s">
        <v>52</v>
      </c>
      <c r="C62" s="45">
        <v>50.474746160827792</v>
      </c>
      <c r="D62" s="18">
        <f xml:space="preserve"> C62 / (24 * 'VRP Solver Console'!C10)</f>
        <v>3.0044491762397495E-2</v>
      </c>
    </row>
    <row r="63" spans="1:4" x14ac:dyDescent="0.3">
      <c r="A63" s="16" t="s">
        <v>57</v>
      </c>
      <c r="B63" s="16" t="s">
        <v>54</v>
      </c>
      <c r="C63" s="44">
        <v>35.136875216786144</v>
      </c>
      <c r="D63" s="17">
        <f xml:space="preserve"> C63 / (24 * 'VRP Solver Console'!C10)</f>
        <v>2.0914806676658418E-2</v>
      </c>
    </row>
    <row r="64" spans="1:4" x14ac:dyDescent="0.3">
      <c r="A64" s="16" t="s">
        <v>57</v>
      </c>
      <c r="B64" s="16" t="s">
        <v>56</v>
      </c>
      <c r="C64" s="45">
        <v>79.626251952481098</v>
      </c>
      <c r="D64" s="18">
        <f xml:space="preserve"> C64 / (24 * 'VRP Solver Console'!C10)</f>
        <v>4.7396578543143511E-2</v>
      </c>
    </row>
    <row r="65" spans="1:4" x14ac:dyDescent="0.3">
      <c r="A65" s="16" t="s">
        <v>57</v>
      </c>
      <c r="B65" s="16" t="s">
        <v>57</v>
      </c>
      <c r="C65" s="44">
        <v>0</v>
      </c>
      <c r="D65" s="17">
        <v>0</v>
      </c>
    </row>
    <row r="66" spans="1:4" x14ac:dyDescent="0.3">
      <c r="A66" s="16" t="s">
        <v>57</v>
      </c>
      <c r="B66" s="16" t="s">
        <v>58</v>
      </c>
      <c r="C66" s="45">
        <v>68.604664564444903</v>
      </c>
      <c r="D66" s="18">
        <f xml:space="preserve"> C66 / (24 * 'VRP Solver Console'!C10)</f>
        <v>4.0836109859788632E-2</v>
      </c>
    </row>
    <row r="67" spans="1:4" x14ac:dyDescent="0.3">
      <c r="A67" s="16" t="s">
        <v>57</v>
      </c>
      <c r="B67" s="16" t="s">
        <v>59</v>
      </c>
      <c r="C67" s="44">
        <v>22.230159693533473</v>
      </c>
      <c r="D67" s="17">
        <f xml:space="preserve"> C67 / (24 * 'VRP Solver Console'!C10)</f>
        <v>1.3232237912817543E-2</v>
      </c>
    </row>
    <row r="68" spans="1:4" x14ac:dyDescent="0.3">
      <c r="A68" s="16" t="s">
        <v>57</v>
      </c>
      <c r="B68" s="16" t="s">
        <v>60</v>
      </c>
      <c r="C68" s="45">
        <v>72.747371086521042</v>
      </c>
      <c r="D68" s="18">
        <f xml:space="preserve"> C68 / (24 * 'VRP Solver Console'!C10)</f>
        <v>4.3302006599119668E-2</v>
      </c>
    </row>
    <row r="69" spans="1:4" x14ac:dyDescent="0.3">
      <c r="A69" s="16" t="s">
        <v>57</v>
      </c>
      <c r="B69" s="16" t="s">
        <v>61</v>
      </c>
      <c r="C69" s="44">
        <v>51.488348196460919</v>
      </c>
      <c r="D69" s="17">
        <f xml:space="preserve"> C69 / (24 * 'VRP Solver Console'!C10)</f>
        <v>3.0647826307417213E-2</v>
      </c>
    </row>
    <row r="70" spans="1:4" x14ac:dyDescent="0.3">
      <c r="A70" s="16" t="s">
        <v>57</v>
      </c>
      <c r="B70" s="16" t="s">
        <v>62</v>
      </c>
      <c r="C70" s="45">
        <v>33.778395462188548</v>
      </c>
      <c r="D70" s="18">
        <f xml:space="preserve"> C70 / (24 * 'VRP Solver Console'!C10)</f>
        <v>2.0106187775112232E-2</v>
      </c>
    </row>
    <row r="71" spans="1:4" x14ac:dyDescent="0.3">
      <c r="A71" s="16" t="s">
        <v>57</v>
      </c>
      <c r="B71" s="16" t="s">
        <v>63</v>
      </c>
      <c r="C71" s="44">
        <v>39.757389250301635</v>
      </c>
      <c r="D71" s="17">
        <f xml:space="preserve"> C71 / (24 * 'VRP Solver Console'!C10)</f>
        <v>2.3665112648989069E-2</v>
      </c>
    </row>
    <row r="72" spans="1:4" x14ac:dyDescent="0.3">
      <c r="A72" s="16" t="s">
        <v>57</v>
      </c>
      <c r="B72" s="16" t="s">
        <v>64</v>
      </c>
      <c r="C72" s="45">
        <v>1.2041594578792323</v>
      </c>
      <c r="D72" s="18">
        <f xml:space="preserve"> C72 / (24 * 'VRP Solver Console'!C10)</f>
        <v>7.1676158207097161E-4</v>
      </c>
    </row>
    <row r="73" spans="1:4" x14ac:dyDescent="0.3">
      <c r="A73" s="16" t="s">
        <v>57</v>
      </c>
      <c r="B73" s="16" t="s">
        <v>65</v>
      </c>
      <c r="C73" s="44">
        <v>102.26886134107487</v>
      </c>
      <c r="D73" s="17">
        <f xml:space="preserve"> C73 / (24 * 'VRP Solver Console'!C10)</f>
        <v>6.0874322226830278E-2</v>
      </c>
    </row>
    <row r="74" spans="1:4" x14ac:dyDescent="0.3">
      <c r="A74" s="16" t="s">
        <v>57</v>
      </c>
      <c r="B74" s="16" t="s">
        <v>66</v>
      </c>
      <c r="C74" s="45">
        <v>37.044972668366213</v>
      </c>
      <c r="D74" s="18">
        <f xml:space="preserve"> C74 / (24 * 'VRP Solver Console'!C10)</f>
        <v>2.2050578969265603E-2</v>
      </c>
    </row>
    <row r="75" spans="1:4" x14ac:dyDescent="0.3">
      <c r="A75" s="16" t="s">
        <v>57</v>
      </c>
      <c r="B75" s="16" t="s">
        <v>67</v>
      </c>
      <c r="C75" s="44">
        <v>19.946177578674067</v>
      </c>
      <c r="D75" s="17">
        <f xml:space="preserve"> C75 / (24 * 'VRP Solver Console'!C10)</f>
        <v>1.1872724749210754E-2</v>
      </c>
    </row>
    <row r="76" spans="1:4" x14ac:dyDescent="0.3">
      <c r="A76" s="16" t="s">
        <v>57</v>
      </c>
      <c r="B76" s="16" t="s">
        <v>68</v>
      </c>
      <c r="C76" s="45">
        <v>26.268802789621002</v>
      </c>
      <c r="D76" s="18">
        <f xml:space="preserve"> C76 / (24 * 'VRP Solver Console'!C10)</f>
        <v>1.5636192136679168E-2</v>
      </c>
    </row>
    <row r="77" spans="1:4" x14ac:dyDescent="0.3">
      <c r="A77" s="16" t="s">
        <v>57</v>
      </c>
      <c r="B77" s="16" t="s">
        <v>69</v>
      </c>
      <c r="C77" s="44">
        <v>44.929834186206385</v>
      </c>
      <c r="D77" s="17">
        <f xml:space="preserve"> C77 / (24 * 'VRP Solver Console'!C10)</f>
        <v>2.6743948920360944E-2</v>
      </c>
    </row>
    <row r="78" spans="1:4" x14ac:dyDescent="0.3">
      <c r="A78" s="16" t="s">
        <v>57</v>
      </c>
      <c r="B78" s="16" t="s">
        <v>70</v>
      </c>
      <c r="C78" s="45">
        <v>55.20153983359522</v>
      </c>
      <c r="D78" s="18">
        <f xml:space="preserve"> C78 / (24 * 'VRP Solver Console'!C10)</f>
        <v>3.2858059424759056E-2</v>
      </c>
    </row>
    <row r="79" spans="1:4" x14ac:dyDescent="0.3">
      <c r="A79" s="16" t="s">
        <v>57</v>
      </c>
      <c r="B79" s="16" t="s">
        <v>71</v>
      </c>
      <c r="C79" s="44">
        <v>41.40591745149478</v>
      </c>
      <c r="D79" s="17">
        <f xml:space="preserve"> C79 / (24 * 'VRP Solver Console'!C10)</f>
        <v>2.4646379435413559E-2</v>
      </c>
    </row>
    <row r="80" spans="1:4" x14ac:dyDescent="0.3">
      <c r="A80" s="16" t="s">
        <v>57</v>
      </c>
      <c r="B80" s="16" t="s">
        <v>72</v>
      </c>
      <c r="C80" s="45">
        <v>56.003571314693858</v>
      </c>
      <c r="D80" s="18">
        <f xml:space="preserve"> C80 / (24 * 'VRP Solver Console'!C10)</f>
        <v>3.3335459115889199E-2</v>
      </c>
    </row>
    <row r="81" spans="1:4" x14ac:dyDescent="0.3">
      <c r="A81" s="16" t="s">
        <v>57</v>
      </c>
      <c r="B81" s="16" t="s">
        <v>73</v>
      </c>
      <c r="C81" s="44">
        <v>97.374586006822128</v>
      </c>
      <c r="D81" s="17">
        <f xml:space="preserve"> C81 / (24 * 'VRP Solver Console'!C10)</f>
        <v>5.7961063099298889E-2</v>
      </c>
    </row>
    <row r="82" spans="1:4" x14ac:dyDescent="0.3">
      <c r="A82" s="16" t="s">
        <v>58</v>
      </c>
      <c r="B82" s="16" t="s">
        <v>52</v>
      </c>
      <c r="C82" s="45">
        <v>43.319510615887623</v>
      </c>
      <c r="D82" s="18">
        <f xml:space="preserve"> C82 / (24 * 'VRP Solver Console'!C10)</f>
        <v>2.5785422985647396E-2</v>
      </c>
    </row>
    <row r="83" spans="1:4" x14ac:dyDescent="0.3">
      <c r="A83" s="16" t="s">
        <v>58</v>
      </c>
      <c r="B83" s="16" t="s">
        <v>54</v>
      </c>
      <c r="C83" s="44">
        <v>38.225645841502796</v>
      </c>
      <c r="D83" s="17">
        <f xml:space="preserve"> C83 / (24 * 'VRP Solver Console'!C10)</f>
        <v>2.275336061994214E-2</v>
      </c>
    </row>
    <row r="84" spans="1:4" x14ac:dyDescent="0.3">
      <c r="A84" s="16" t="s">
        <v>58</v>
      </c>
      <c r="B84" s="16" t="s">
        <v>56</v>
      </c>
      <c r="C84" s="45">
        <v>44.52527372178637</v>
      </c>
      <c r="D84" s="18">
        <f xml:space="preserve"> C84 / (24 * 'VRP Solver Console'!C10)</f>
        <v>2.6503139120110934E-2</v>
      </c>
    </row>
    <row r="85" spans="1:4" x14ac:dyDescent="0.3">
      <c r="A85" s="16" t="s">
        <v>58</v>
      </c>
      <c r="B85" s="16" t="s">
        <v>57</v>
      </c>
      <c r="C85" s="44">
        <v>68.604664564444903</v>
      </c>
      <c r="D85" s="17">
        <f xml:space="preserve"> C85 / (24 * 'VRP Solver Console'!C10)</f>
        <v>4.0836109859788632E-2</v>
      </c>
    </row>
    <row r="86" spans="1:4" x14ac:dyDescent="0.3">
      <c r="A86" s="16" t="s">
        <v>58</v>
      </c>
      <c r="B86" s="16" t="s">
        <v>58</v>
      </c>
      <c r="C86" s="45">
        <v>0</v>
      </c>
      <c r="D86" s="18">
        <v>0</v>
      </c>
    </row>
    <row r="87" spans="1:4" x14ac:dyDescent="0.3">
      <c r="A87" s="16" t="s">
        <v>58</v>
      </c>
      <c r="B87" s="16" t="s">
        <v>59</v>
      </c>
      <c r="C87" s="44">
        <v>49.327679856242987</v>
      </c>
      <c r="D87" s="17">
        <f xml:space="preserve"> C87 / (24 * 'VRP Solver Console'!C10)</f>
        <v>2.9361714200144634E-2</v>
      </c>
    </row>
    <row r="88" spans="1:4" x14ac:dyDescent="0.3">
      <c r="A88" s="16" t="s">
        <v>58</v>
      </c>
      <c r="B88" s="16" t="s">
        <v>60</v>
      </c>
      <c r="C88" s="45">
        <v>73.095143477525227</v>
      </c>
      <c r="D88" s="18">
        <f xml:space="preserve"> C88 / (24 * 'VRP Solver Console'!C10)</f>
        <v>4.3509013974717396E-2</v>
      </c>
    </row>
    <row r="89" spans="1:4" x14ac:dyDescent="0.3">
      <c r="A89" s="16" t="s">
        <v>58</v>
      </c>
      <c r="B89" s="16" t="s">
        <v>61</v>
      </c>
      <c r="C89" s="44">
        <v>37.528256021296812</v>
      </c>
      <c r="D89" s="17">
        <f xml:space="preserve"> C89 / (24 * 'VRP Solver Console'!C10)</f>
        <v>2.2338247631724293E-2</v>
      </c>
    </row>
    <row r="90" spans="1:4" x14ac:dyDescent="0.3">
      <c r="A90" s="16" t="s">
        <v>58</v>
      </c>
      <c r="B90" s="16" t="s">
        <v>62</v>
      </c>
      <c r="C90" s="45">
        <v>90.505800919057123</v>
      </c>
      <c r="D90" s="18">
        <f xml:space="preserve"> C90 / (24 * 'VRP Solver Console'!C10)</f>
        <v>5.3872500547057812E-2</v>
      </c>
    </row>
    <row r="91" spans="1:4" x14ac:dyDescent="0.3">
      <c r="A91" s="16" t="s">
        <v>58</v>
      </c>
      <c r="B91" s="16" t="s">
        <v>63</v>
      </c>
      <c r="C91" s="44">
        <v>37.220021493814322</v>
      </c>
      <c r="D91" s="17">
        <f xml:space="preserve"> C91 / (24 * 'VRP Solver Console'!C10)</f>
        <v>2.2154774698699E-2</v>
      </c>
    </row>
    <row r="92" spans="1:4" x14ac:dyDescent="0.3">
      <c r="A92" s="16" t="s">
        <v>58</v>
      </c>
      <c r="B92" s="16" t="s">
        <v>64</v>
      </c>
      <c r="C92" s="45">
        <v>67.422325679258506</v>
      </c>
      <c r="D92" s="18">
        <f xml:space="preserve"> C92 / (24 * 'VRP Solver Console'!C10)</f>
        <v>4.0132336713844349E-2</v>
      </c>
    </row>
    <row r="93" spans="1:4" x14ac:dyDescent="0.3">
      <c r="A93" s="16" t="s">
        <v>58</v>
      </c>
      <c r="B93" s="16" t="s">
        <v>65</v>
      </c>
      <c r="C93" s="44">
        <v>44.8</v>
      </c>
      <c r="D93" s="17">
        <f xml:space="preserve"> C93 / (24 * 'VRP Solver Console'!C10)</f>
        <v>2.6666666666666665E-2</v>
      </c>
    </row>
    <row r="94" spans="1:4" x14ac:dyDescent="0.3">
      <c r="A94" s="16" t="s">
        <v>58</v>
      </c>
      <c r="B94" s="16" t="s">
        <v>66</v>
      </c>
      <c r="C94" s="45">
        <v>93.826701956319454</v>
      </c>
      <c r="D94" s="18">
        <f xml:space="preserve"> C94 / (24 * 'VRP Solver Console'!C10)</f>
        <v>5.5849227354952055E-2</v>
      </c>
    </row>
    <row r="95" spans="1:4" x14ac:dyDescent="0.3">
      <c r="A95" s="16" t="s">
        <v>58</v>
      </c>
      <c r="B95" s="16" t="s">
        <v>67</v>
      </c>
      <c r="C95" s="44">
        <v>78.303575908128238</v>
      </c>
      <c r="D95" s="17">
        <f xml:space="preserve"> C95 / (24 * 'VRP Solver Console'!C10)</f>
        <v>4.6609271373885854E-2</v>
      </c>
    </row>
    <row r="96" spans="1:4" x14ac:dyDescent="0.3">
      <c r="A96" s="16" t="s">
        <v>58</v>
      </c>
      <c r="B96" s="16" t="s">
        <v>68</v>
      </c>
      <c r="C96" s="45">
        <v>44.767510540569489</v>
      </c>
      <c r="D96" s="18">
        <f xml:space="preserve"> C96 / (24 * 'VRP Solver Console'!C10)</f>
        <v>2.6647327702719933E-2</v>
      </c>
    </row>
    <row r="97" spans="1:4" x14ac:dyDescent="0.3">
      <c r="A97" s="16" t="s">
        <v>58</v>
      </c>
      <c r="B97" s="16" t="s">
        <v>69</v>
      </c>
      <c r="C97" s="44">
        <v>28.693727537564722</v>
      </c>
      <c r="D97" s="17">
        <f xml:space="preserve"> C97 / (24 * 'VRP Solver Console'!C10)</f>
        <v>1.7079599724740907E-2</v>
      </c>
    </row>
    <row r="98" spans="1:4" x14ac:dyDescent="0.3">
      <c r="A98" s="16" t="s">
        <v>58</v>
      </c>
      <c r="B98" s="16" t="s">
        <v>70</v>
      </c>
      <c r="C98" s="45">
        <v>68.999202893946531</v>
      </c>
      <c r="D98" s="18">
        <f xml:space="preserve"> C98 / (24 * 'VRP Solver Console'!C10)</f>
        <v>4.10709541035396E-2</v>
      </c>
    </row>
    <row r="99" spans="1:4" x14ac:dyDescent="0.3">
      <c r="A99" s="16" t="s">
        <v>58</v>
      </c>
      <c r="B99" s="16" t="s">
        <v>71</v>
      </c>
      <c r="C99" s="44">
        <v>80.317183715566131</v>
      </c>
      <c r="D99" s="17">
        <f xml:space="preserve"> C99 / (24 * 'VRP Solver Console'!C10)</f>
        <v>4.7807847449741744E-2</v>
      </c>
    </row>
    <row r="100" spans="1:4" x14ac:dyDescent="0.3">
      <c r="A100" s="16" t="s">
        <v>58</v>
      </c>
      <c r="B100" s="16" t="s">
        <v>72</v>
      </c>
      <c r="C100" s="45">
        <v>33.614877658560651</v>
      </c>
      <c r="D100" s="18">
        <f xml:space="preserve"> C100 / (24 * 'VRP Solver Console'!C10)</f>
        <v>2.0008855749143246E-2</v>
      </c>
    </row>
    <row r="101" spans="1:4" x14ac:dyDescent="0.3">
      <c r="A101" s="16" t="s">
        <v>58</v>
      </c>
      <c r="B101" s="16" t="s">
        <v>73</v>
      </c>
      <c r="C101" s="44">
        <v>44.390652169122276</v>
      </c>
      <c r="D101" s="17">
        <f xml:space="preserve"> C101 / (24 * 'VRP Solver Console'!C10)</f>
        <v>2.6423007243525164E-2</v>
      </c>
    </row>
    <row r="102" spans="1:4" x14ac:dyDescent="0.3">
      <c r="A102" s="16" t="s">
        <v>59</v>
      </c>
      <c r="B102" s="16" t="s">
        <v>52</v>
      </c>
      <c r="C102" s="45">
        <v>29.433314458280094</v>
      </c>
      <c r="D102" s="18">
        <f xml:space="preserve"> C102 / (24 * 'VRP Solver Console'!C10)</f>
        <v>1.7519830034690532E-2</v>
      </c>
    </row>
    <row r="103" spans="1:4" x14ac:dyDescent="0.3">
      <c r="A103" s="16" t="s">
        <v>59</v>
      </c>
      <c r="B103" s="16" t="s">
        <v>54</v>
      </c>
      <c r="C103" s="44">
        <v>25.578506602223673</v>
      </c>
      <c r="D103" s="17">
        <f xml:space="preserve"> C103 / (24 * 'VRP Solver Console'!C10)</f>
        <v>1.5225301548942662E-2</v>
      </c>
    </row>
    <row r="104" spans="1:4" x14ac:dyDescent="0.3">
      <c r="A104" s="16" t="s">
        <v>59</v>
      </c>
      <c r="B104" s="16" t="s">
        <v>56</v>
      </c>
      <c r="C104" s="45">
        <v>57.780965724016767</v>
      </c>
      <c r="D104" s="18">
        <f xml:space="preserve"> C104 / (24 * 'VRP Solver Console'!C10)</f>
        <v>3.4393431978581405E-2</v>
      </c>
    </row>
    <row r="105" spans="1:4" x14ac:dyDescent="0.3">
      <c r="A105" s="16" t="s">
        <v>59</v>
      </c>
      <c r="B105" s="16" t="s">
        <v>57</v>
      </c>
      <c r="C105" s="44">
        <v>22.230159693533473</v>
      </c>
      <c r="D105" s="17">
        <f xml:space="preserve"> C105 / (24 * 'VRP Solver Console'!C10)</f>
        <v>1.3232237912817543E-2</v>
      </c>
    </row>
    <row r="106" spans="1:4" x14ac:dyDescent="0.3">
      <c r="A106" s="16" t="s">
        <v>59</v>
      </c>
      <c r="B106" s="16" t="s">
        <v>58</v>
      </c>
      <c r="C106" s="45">
        <v>49.327679856242987</v>
      </c>
      <c r="D106" s="18">
        <f xml:space="preserve"> C106 / (24 * 'VRP Solver Console'!C10)</f>
        <v>2.9361714200144634E-2</v>
      </c>
    </row>
    <row r="107" spans="1:4" x14ac:dyDescent="0.3">
      <c r="A107" s="16" t="s">
        <v>59</v>
      </c>
      <c r="B107" s="16" t="s">
        <v>59</v>
      </c>
      <c r="C107" s="44">
        <v>0</v>
      </c>
      <c r="D107" s="17">
        <v>0</v>
      </c>
    </row>
    <row r="108" spans="1:4" x14ac:dyDescent="0.3">
      <c r="A108" s="16" t="s">
        <v>59</v>
      </c>
      <c r="B108" s="16" t="s">
        <v>60</v>
      </c>
      <c r="C108" s="45">
        <v>56.698853603930999</v>
      </c>
      <c r="D108" s="18">
        <f xml:space="preserve"> C108 / (24 * 'VRP Solver Console'!C10)</f>
        <v>3.3749317621387498E-2</v>
      </c>
    </row>
    <row r="109" spans="1:4" x14ac:dyDescent="0.3">
      <c r="A109" s="16" t="s">
        <v>59</v>
      </c>
      <c r="B109" s="16" t="s">
        <v>61</v>
      </c>
      <c r="C109" s="44">
        <v>43.761741281626357</v>
      </c>
      <c r="D109" s="17">
        <f xml:space="preserve"> C109 / (24 * 'VRP Solver Console'!C10)</f>
        <v>2.6048655524777593E-2</v>
      </c>
    </row>
    <row r="110" spans="1:4" x14ac:dyDescent="0.3">
      <c r="A110" s="16" t="s">
        <v>59</v>
      </c>
      <c r="B110" s="16" t="s">
        <v>62</v>
      </c>
      <c r="C110" s="45">
        <v>42.184831397079215</v>
      </c>
      <c r="D110" s="18">
        <f xml:space="preserve"> C110 / (24 * 'VRP Solver Console'!C10)</f>
        <v>2.5110018688737627E-2</v>
      </c>
    </row>
    <row r="111" spans="1:4" x14ac:dyDescent="0.3">
      <c r="A111" s="16" t="s">
        <v>59</v>
      </c>
      <c r="B111" s="16" t="s">
        <v>63</v>
      </c>
      <c r="C111" s="44">
        <v>17.537673733993341</v>
      </c>
      <c r="D111" s="17">
        <f xml:space="preserve"> C111 / (24 * 'VRP Solver Console'!C10)</f>
        <v>1.0439091508329369E-2</v>
      </c>
    </row>
    <row r="112" spans="1:4" x14ac:dyDescent="0.3">
      <c r="A112" s="16" t="s">
        <v>59</v>
      </c>
      <c r="B112" s="16" t="s">
        <v>64</v>
      </c>
      <c r="C112" s="45">
        <v>21.063950246807934</v>
      </c>
      <c r="D112" s="18">
        <f xml:space="preserve"> C112 / (24 * 'VRP Solver Console'!C10)</f>
        <v>1.2538065623099962E-2</v>
      </c>
    </row>
    <row r="113" spans="1:4" x14ac:dyDescent="0.3">
      <c r="A113" s="16" t="s">
        <v>59</v>
      </c>
      <c r="B113" s="16" t="s">
        <v>65</v>
      </c>
      <c r="C113" s="44">
        <v>80.127523361202179</v>
      </c>
      <c r="D113" s="17">
        <f xml:space="preserve"> C113 / (24 * 'VRP Solver Console'!C10)</f>
        <v>4.7694954381667966E-2</v>
      </c>
    </row>
    <row r="114" spans="1:4" x14ac:dyDescent="0.3">
      <c r="A114" s="16" t="s">
        <v>59</v>
      </c>
      <c r="B114" s="16" t="s">
        <v>66</v>
      </c>
      <c r="C114" s="45">
        <v>45.640004382120736</v>
      </c>
      <c r="D114" s="18">
        <f xml:space="preserve"> C114 / (24 * 'VRP Solver Console'!C10)</f>
        <v>2.7166669275071866E-2</v>
      </c>
    </row>
    <row r="115" spans="1:4" x14ac:dyDescent="0.3">
      <c r="A115" s="16" t="s">
        <v>59</v>
      </c>
      <c r="B115" s="16" t="s">
        <v>67</v>
      </c>
      <c r="C115" s="44">
        <v>29.127478435319464</v>
      </c>
      <c r="D115" s="17">
        <f xml:space="preserve"> C115 / (24 * 'VRP Solver Console'!C10)</f>
        <v>1.7337784782928252E-2</v>
      </c>
    </row>
    <row r="116" spans="1:4" x14ac:dyDescent="0.3">
      <c r="A116" s="16" t="s">
        <v>59</v>
      </c>
      <c r="B116" s="16" t="s">
        <v>68</v>
      </c>
      <c r="C116" s="45">
        <v>4.5793012567421227</v>
      </c>
      <c r="D116" s="18">
        <f xml:space="preserve"> C116 / (24 * 'VRP Solver Console'!C10)</f>
        <v>2.7257745575845968E-3</v>
      </c>
    </row>
    <row r="117" spans="1:4" x14ac:dyDescent="0.3">
      <c r="A117" s="16" t="s">
        <v>59</v>
      </c>
      <c r="B117" s="16" t="s">
        <v>69</v>
      </c>
      <c r="C117" s="44">
        <v>23.131147831441478</v>
      </c>
      <c r="D117" s="17">
        <f xml:space="preserve"> C117 / (24 * 'VRP Solver Console'!C10)</f>
        <v>1.3768540375858023E-2</v>
      </c>
    </row>
    <row r="118" spans="1:4" x14ac:dyDescent="0.3">
      <c r="A118" s="16" t="s">
        <v>59</v>
      </c>
      <c r="B118" s="16" t="s">
        <v>70</v>
      </c>
      <c r="C118" s="45">
        <v>41.396255869341609</v>
      </c>
      <c r="D118" s="18">
        <f xml:space="preserve"> C118 / (24 * 'VRP Solver Console'!C10)</f>
        <v>2.4640628493655718E-2</v>
      </c>
    </row>
    <row r="119" spans="1:4" x14ac:dyDescent="0.3">
      <c r="A119" s="16" t="s">
        <v>59</v>
      </c>
      <c r="B119" s="16" t="s">
        <v>71</v>
      </c>
      <c r="C119" s="44">
        <v>37.993288881064245</v>
      </c>
      <c r="D119" s="17">
        <f xml:space="preserve"> C119 / (24 * 'VRP Solver Console'!C10)</f>
        <v>2.2615052905395384E-2</v>
      </c>
    </row>
    <row r="120" spans="1:4" x14ac:dyDescent="0.3">
      <c r="A120" s="16" t="s">
        <v>59</v>
      </c>
      <c r="B120" s="16" t="s">
        <v>72</v>
      </c>
      <c r="C120" s="45">
        <v>46.543098306838147</v>
      </c>
      <c r="D120" s="18">
        <f xml:space="preserve"> C120 / (24 * 'VRP Solver Console'!C10)</f>
        <v>2.7704225182641755E-2</v>
      </c>
    </row>
    <row r="121" spans="1:4" x14ac:dyDescent="0.3">
      <c r="A121" s="16" t="s">
        <v>59</v>
      </c>
      <c r="B121" s="16" t="s">
        <v>73</v>
      </c>
      <c r="C121" s="44">
        <v>75.148719217296048</v>
      </c>
      <c r="D121" s="17">
        <f xml:space="preserve"> C121 / (24 * 'VRP Solver Console'!C10)</f>
        <v>4.4731380486485742E-2</v>
      </c>
    </row>
    <row r="122" spans="1:4" x14ac:dyDescent="0.3">
      <c r="A122" s="16" t="s">
        <v>60</v>
      </c>
      <c r="B122" s="16" t="s">
        <v>52</v>
      </c>
      <c r="C122" s="45">
        <v>32.966043135323353</v>
      </c>
      <c r="D122" s="18">
        <f xml:space="preserve"> C122 / (24 * 'VRP Solver Console'!C10)</f>
        <v>1.962264472340676E-2</v>
      </c>
    </row>
    <row r="123" spans="1:4" x14ac:dyDescent="0.3">
      <c r="A123" s="16" t="s">
        <v>60</v>
      </c>
      <c r="B123" s="16" t="s">
        <v>54</v>
      </c>
      <c r="C123" s="44">
        <v>77.340933534577914</v>
      </c>
      <c r="D123" s="17">
        <f xml:space="preserve"> C123 / (24 * 'VRP Solver Console'!C10)</f>
        <v>4.6036269961058279E-2</v>
      </c>
    </row>
    <row r="124" spans="1:4" x14ac:dyDescent="0.3">
      <c r="A124" s="16" t="s">
        <v>60</v>
      </c>
      <c r="B124" s="16" t="s">
        <v>56</v>
      </c>
      <c r="C124" s="45">
        <v>37.791533443352101</v>
      </c>
      <c r="D124" s="18">
        <f xml:space="preserve"> C124 / (24 * 'VRP Solver Console'!C10)</f>
        <v>2.2494960382947678E-2</v>
      </c>
    </row>
    <row r="125" spans="1:4" x14ac:dyDescent="0.3">
      <c r="A125" s="16" t="s">
        <v>60</v>
      </c>
      <c r="B125" s="16" t="s">
        <v>57</v>
      </c>
      <c r="C125" s="44">
        <v>72.747371086521042</v>
      </c>
      <c r="D125" s="17">
        <f xml:space="preserve"> C125 / (24 * 'VRP Solver Console'!C10)</f>
        <v>4.3302006599119668E-2</v>
      </c>
    </row>
    <row r="126" spans="1:4" x14ac:dyDescent="0.3">
      <c r="A126" s="16" t="s">
        <v>60</v>
      </c>
      <c r="B126" s="16" t="s">
        <v>58</v>
      </c>
      <c r="C126" s="45">
        <v>73.095143477525227</v>
      </c>
      <c r="D126" s="18">
        <f xml:space="preserve"> C126 / (24 * 'VRP Solver Console'!C10)</f>
        <v>4.3509013974717396E-2</v>
      </c>
    </row>
    <row r="127" spans="1:4" x14ac:dyDescent="0.3">
      <c r="A127" s="16" t="s">
        <v>60</v>
      </c>
      <c r="B127" s="16" t="s">
        <v>59</v>
      </c>
      <c r="C127" s="44">
        <v>56.698853603930999</v>
      </c>
      <c r="D127" s="17">
        <f xml:space="preserve"> C127 / (24 * 'VRP Solver Console'!C10)</f>
        <v>3.3749317621387498E-2</v>
      </c>
    </row>
    <row r="128" spans="1:4" x14ac:dyDescent="0.3">
      <c r="A128" s="16" t="s">
        <v>60</v>
      </c>
      <c r="B128" s="16" t="s">
        <v>60</v>
      </c>
      <c r="C128" s="45">
        <v>0</v>
      </c>
      <c r="D128" s="18">
        <v>0</v>
      </c>
    </row>
    <row r="129" spans="1:4" x14ac:dyDescent="0.3">
      <c r="A129" s="16" t="s">
        <v>60</v>
      </c>
      <c r="B129" s="16" t="s">
        <v>61</v>
      </c>
      <c r="C129" s="44">
        <v>92.597246179354599</v>
      </c>
      <c r="D129" s="17">
        <f xml:space="preserve"> C129 / (24 * 'VRP Solver Console'!C10)</f>
        <v>5.5117408440092025E-2</v>
      </c>
    </row>
    <row r="130" spans="1:4" x14ac:dyDescent="0.3">
      <c r="A130" s="16" t="s">
        <v>60</v>
      </c>
      <c r="B130" s="16" t="s">
        <v>62</v>
      </c>
      <c r="C130" s="45">
        <v>61.983868869246933</v>
      </c>
      <c r="D130" s="18">
        <f xml:space="preserve"> C130 / (24 * 'VRP Solver Console'!C10)</f>
        <v>3.6895160041218414E-2</v>
      </c>
    </row>
    <row r="131" spans="1:4" x14ac:dyDescent="0.3">
      <c r="A131" s="16" t="s">
        <v>60</v>
      </c>
      <c r="B131" s="16" t="s">
        <v>63</v>
      </c>
      <c r="C131" s="44">
        <v>46.938363840253309</v>
      </c>
      <c r="D131" s="17">
        <f xml:space="preserve"> C131 / (24 * 'VRP Solver Console'!C10)</f>
        <v>2.7939502285865066E-2</v>
      </c>
    </row>
    <row r="132" spans="1:4" x14ac:dyDescent="0.3">
      <c r="A132" s="16" t="s">
        <v>60</v>
      </c>
      <c r="B132" s="16" t="s">
        <v>64</v>
      </c>
      <c r="C132" s="45">
        <v>72.001736090180486</v>
      </c>
      <c r="D132" s="18">
        <f xml:space="preserve"> C132 / (24 * 'VRP Solver Console'!C10)</f>
        <v>4.2858176244155048E-2</v>
      </c>
    </row>
    <row r="133" spans="1:4" x14ac:dyDescent="0.3">
      <c r="A133" s="16" t="s">
        <v>60</v>
      </c>
      <c r="B133" s="16" t="s">
        <v>65</v>
      </c>
      <c r="C133" s="44">
        <v>68.343982909982657</v>
      </c>
      <c r="D133" s="17">
        <f xml:space="preserve"> C133 / (24 * 'VRP Solver Console'!C10)</f>
        <v>4.0680942208323009E-2</v>
      </c>
    </row>
    <row r="134" spans="1:4" x14ac:dyDescent="0.3">
      <c r="A134" s="16" t="s">
        <v>60</v>
      </c>
      <c r="B134" s="16" t="s">
        <v>66</v>
      </c>
      <c r="C134" s="45">
        <v>63.144675151591358</v>
      </c>
      <c r="D134" s="18">
        <f xml:space="preserve"> C134 / (24 * 'VRP Solver Console'!C10)</f>
        <v>3.758611616166152E-2</v>
      </c>
    </row>
    <row r="135" spans="1:4" x14ac:dyDescent="0.3">
      <c r="A135" s="16" t="s">
        <v>60</v>
      </c>
      <c r="B135" s="16" t="s">
        <v>67</v>
      </c>
      <c r="C135" s="44">
        <v>61.794579050269448</v>
      </c>
      <c r="D135" s="17">
        <f xml:space="preserve"> C135 / (24 * 'VRP Solver Console'!C10)</f>
        <v>3.6782487529922289E-2</v>
      </c>
    </row>
    <row r="136" spans="1:4" x14ac:dyDescent="0.3">
      <c r="A136" s="16" t="s">
        <v>60</v>
      </c>
      <c r="B136" s="16" t="s">
        <v>68</v>
      </c>
      <c r="C136" s="45">
        <v>56.23530919271272</v>
      </c>
      <c r="D136" s="18">
        <f xml:space="preserve"> C136 / (24 * 'VRP Solver Console'!C10)</f>
        <v>3.3473398328995665E-2</v>
      </c>
    </row>
    <row r="137" spans="1:4" x14ac:dyDescent="0.3">
      <c r="A137" s="16" t="s">
        <v>60</v>
      </c>
      <c r="B137" s="16" t="s">
        <v>69</v>
      </c>
      <c r="C137" s="44">
        <v>52.165985086069256</v>
      </c>
      <c r="D137" s="17">
        <f xml:space="preserve"> C137 / (24 * 'VRP Solver Console'!C10)</f>
        <v>3.1051181598850747E-2</v>
      </c>
    </row>
    <row r="138" spans="1:4" x14ac:dyDescent="0.3">
      <c r="A138" s="16" t="s">
        <v>60</v>
      </c>
      <c r="B138" s="16" t="s">
        <v>70</v>
      </c>
      <c r="C138" s="45">
        <v>18.246369501903654</v>
      </c>
      <c r="D138" s="18">
        <f xml:space="preserve"> C138 / (24 * 'VRP Solver Console'!C10)</f>
        <v>1.0860934227323604E-2</v>
      </c>
    </row>
    <row r="139" spans="1:4" x14ac:dyDescent="0.3">
      <c r="A139" s="16" t="s">
        <v>60</v>
      </c>
      <c r="B139" s="16" t="s">
        <v>71</v>
      </c>
      <c r="C139" s="44">
        <v>41.141341737964737</v>
      </c>
      <c r="D139" s="17">
        <f xml:space="preserve"> C139 / (24 * 'VRP Solver Console'!C10)</f>
        <v>2.4488893891645675E-2</v>
      </c>
    </row>
    <row r="140" spans="1:4" x14ac:dyDescent="0.3">
      <c r="A140" s="16" t="s">
        <v>60</v>
      </c>
      <c r="B140" s="16" t="s">
        <v>72</v>
      </c>
      <c r="C140" s="45">
        <v>92.81993320402681</v>
      </c>
      <c r="D140" s="18">
        <f xml:space="preserve"> C140 / (24 * 'VRP Solver Console'!C10)</f>
        <v>5.5249960240492148E-2</v>
      </c>
    </row>
    <row r="141" spans="1:4" x14ac:dyDescent="0.3">
      <c r="A141" s="16" t="s">
        <v>60</v>
      </c>
      <c r="B141" s="16" t="s">
        <v>73</v>
      </c>
      <c r="C141" s="44">
        <v>60.495041119086785</v>
      </c>
      <c r="D141" s="17">
        <f xml:space="preserve"> C141 / (24 * 'VRP Solver Console'!C10)</f>
        <v>3.6008953047075465E-2</v>
      </c>
    </row>
    <row r="142" spans="1:4" x14ac:dyDescent="0.3">
      <c r="A142" s="16" t="s">
        <v>61</v>
      </c>
      <c r="B142" s="16" t="s">
        <v>52</v>
      </c>
      <c r="C142" s="45">
        <v>59.718087712183149</v>
      </c>
      <c r="D142" s="18">
        <f xml:space="preserve"> C142 / (24 * 'VRP Solver Console'!C10)</f>
        <v>3.5546480781061401E-2</v>
      </c>
    </row>
    <row r="143" spans="1:4" x14ac:dyDescent="0.3">
      <c r="A143" s="16" t="s">
        <v>61</v>
      </c>
      <c r="B143" s="16" t="s">
        <v>54</v>
      </c>
      <c r="C143" s="44">
        <v>18.256231812726305</v>
      </c>
      <c r="D143" s="17">
        <f xml:space="preserve"> C143 / (24 * 'VRP Solver Console'!C10)</f>
        <v>1.0866804650432325E-2</v>
      </c>
    </row>
    <row r="144" spans="1:4" x14ac:dyDescent="0.3">
      <c r="A144" s="16" t="s">
        <v>61</v>
      </c>
      <c r="B144" s="16" t="s">
        <v>56</v>
      </c>
      <c r="C144" s="45">
        <v>75.704755464897985</v>
      </c>
      <c r="D144" s="18">
        <f xml:space="preserve"> C144 / (24 * 'VRP Solver Console'!C10)</f>
        <v>4.5062354443391656E-2</v>
      </c>
    </row>
    <row r="145" spans="1:4" x14ac:dyDescent="0.3">
      <c r="A145" s="16" t="s">
        <v>61</v>
      </c>
      <c r="B145" s="16" t="s">
        <v>57</v>
      </c>
      <c r="C145" s="44">
        <v>51.488348196460919</v>
      </c>
      <c r="D145" s="17">
        <f xml:space="preserve"> C145 / (24 * 'VRP Solver Console'!C10)</f>
        <v>3.0647826307417213E-2</v>
      </c>
    </row>
    <row r="146" spans="1:4" x14ac:dyDescent="0.3">
      <c r="A146" s="16" t="s">
        <v>61</v>
      </c>
      <c r="B146" s="16" t="s">
        <v>58</v>
      </c>
      <c r="C146" s="45">
        <v>37.528256021296812</v>
      </c>
      <c r="D146" s="18">
        <f xml:space="preserve"> C146 / (24 * 'VRP Solver Console'!C10)</f>
        <v>2.2338247631724293E-2</v>
      </c>
    </row>
    <row r="147" spans="1:4" x14ac:dyDescent="0.3">
      <c r="A147" s="16" t="s">
        <v>61</v>
      </c>
      <c r="B147" s="16" t="s">
        <v>59</v>
      </c>
      <c r="C147" s="44">
        <v>43.761741281626357</v>
      </c>
      <c r="D147" s="17">
        <f xml:space="preserve"> C147 / (24 * 'VRP Solver Console'!C10)</f>
        <v>2.6048655524777593E-2</v>
      </c>
    </row>
    <row r="148" spans="1:4" x14ac:dyDescent="0.3">
      <c r="A148" s="16" t="s">
        <v>61</v>
      </c>
      <c r="B148" s="16" t="s">
        <v>60</v>
      </c>
      <c r="C148" s="45">
        <v>92.597246179354599</v>
      </c>
      <c r="D148" s="18">
        <f xml:space="preserve"> C148 / (24 * 'VRP Solver Console'!C10)</f>
        <v>5.5117408440092025E-2</v>
      </c>
    </row>
    <row r="149" spans="1:4" x14ac:dyDescent="0.3">
      <c r="A149" s="16" t="s">
        <v>61</v>
      </c>
      <c r="B149" s="16" t="s">
        <v>61</v>
      </c>
      <c r="C149" s="44">
        <v>0</v>
      </c>
      <c r="D149" s="17">
        <v>0</v>
      </c>
    </row>
    <row r="150" spans="1:4" x14ac:dyDescent="0.3">
      <c r="A150" s="16" t="s">
        <v>61</v>
      </c>
      <c r="B150" s="16" t="s">
        <v>62</v>
      </c>
      <c r="C150" s="45">
        <v>83.015962320507967</v>
      </c>
      <c r="D150" s="18">
        <f xml:space="preserve"> C150 / (24 * 'VRP Solver Console'!C10)</f>
        <v>4.9414263286016648E-2</v>
      </c>
    </row>
    <row r="151" spans="1:4" x14ac:dyDescent="0.3">
      <c r="A151" s="16" t="s">
        <v>61</v>
      </c>
      <c r="B151" s="16" t="s">
        <v>63</v>
      </c>
      <c r="C151" s="44">
        <v>45.851935618902722</v>
      </c>
      <c r="D151" s="17">
        <f xml:space="preserve"> C151 / (24 * 'VRP Solver Console'!C10)</f>
        <v>2.729281882077543E-2</v>
      </c>
    </row>
    <row r="152" spans="1:4" x14ac:dyDescent="0.3">
      <c r="A152" s="16" t="s">
        <v>61</v>
      </c>
      <c r="B152" s="16" t="s">
        <v>64</v>
      </c>
      <c r="C152" s="45">
        <v>50.621141828291471</v>
      </c>
      <c r="D152" s="18">
        <f xml:space="preserve"> C152 / (24 * 'VRP Solver Console'!C10)</f>
        <v>3.0131632040649683E-2</v>
      </c>
    </row>
    <row r="153" spans="1:4" x14ac:dyDescent="0.3">
      <c r="A153" s="16" t="s">
        <v>61</v>
      </c>
      <c r="B153" s="16" t="s">
        <v>65</v>
      </c>
      <c r="C153" s="44">
        <v>82.258434218018039</v>
      </c>
      <c r="D153" s="17">
        <f xml:space="preserve"> C153 / (24 * 'VRP Solver Console'!C10)</f>
        <v>4.8963353701201216E-2</v>
      </c>
    </row>
    <row r="154" spans="1:4" x14ac:dyDescent="0.3">
      <c r="A154" s="16" t="s">
        <v>61</v>
      </c>
      <c r="B154" s="16" t="s">
        <v>66</v>
      </c>
      <c r="C154" s="45">
        <v>86.499132943631281</v>
      </c>
      <c r="D154" s="18">
        <f xml:space="preserve"> C154 / (24 * 'VRP Solver Console'!C10)</f>
        <v>5.1487579133113859E-2</v>
      </c>
    </row>
    <row r="155" spans="1:4" x14ac:dyDescent="0.3">
      <c r="A155" s="16" t="s">
        <v>61</v>
      </c>
      <c r="B155" s="16" t="s">
        <v>67</v>
      </c>
      <c r="C155" s="44">
        <v>68.736744176604702</v>
      </c>
      <c r="D155" s="17">
        <f xml:space="preserve"> C155 / (24 * 'VRP Solver Console'!C10)</f>
        <v>4.0914728676550417E-2</v>
      </c>
    </row>
    <row r="156" spans="1:4" x14ac:dyDescent="0.3">
      <c r="A156" s="16" t="s">
        <v>61</v>
      </c>
      <c r="B156" s="16" t="s">
        <v>68</v>
      </c>
      <c r="C156" s="45">
        <v>41.105960638330785</v>
      </c>
      <c r="D156" s="18">
        <f xml:space="preserve"> C156 / (24 * 'VRP Solver Console'!C10)</f>
        <v>2.4467833713292135E-2</v>
      </c>
    </row>
    <row r="157" spans="1:4" x14ac:dyDescent="0.3">
      <c r="A157" s="16" t="s">
        <v>61</v>
      </c>
      <c r="B157" s="16" t="s">
        <v>69</v>
      </c>
      <c r="C157" s="44">
        <v>40.748251496229869</v>
      </c>
      <c r="D157" s="17">
        <f xml:space="preserve"> C157 / (24 * 'VRP Solver Console'!C10)</f>
        <v>2.4254911604898732E-2</v>
      </c>
    </row>
    <row r="158" spans="1:4" x14ac:dyDescent="0.3">
      <c r="A158" s="16" t="s">
        <v>61</v>
      </c>
      <c r="B158" s="16" t="s">
        <v>70</v>
      </c>
      <c r="C158" s="45">
        <v>81.380710245118891</v>
      </c>
      <c r="D158" s="18">
        <f xml:space="preserve"> C158 / (24 * 'VRP Solver Console'!C10)</f>
        <v>4.8440898955427913E-2</v>
      </c>
    </row>
    <row r="159" spans="1:4" x14ac:dyDescent="0.3">
      <c r="A159" s="16" t="s">
        <v>61</v>
      </c>
      <c r="B159" s="16" t="s">
        <v>71</v>
      </c>
      <c r="C159" s="44">
        <v>81.754388261426058</v>
      </c>
      <c r="D159" s="17">
        <f xml:space="preserve"> C159 / (24 * 'VRP Solver Console'!C10)</f>
        <v>4.8663326346086937E-2</v>
      </c>
    </row>
    <row r="160" spans="1:4" x14ac:dyDescent="0.3">
      <c r="A160" s="16" t="s">
        <v>61</v>
      </c>
      <c r="B160" s="16" t="s">
        <v>72</v>
      </c>
      <c r="C160" s="45">
        <v>5.5901699437494745</v>
      </c>
      <c r="D160" s="18">
        <f xml:space="preserve"> C160 / (24 * 'VRP Solver Console'!C10)</f>
        <v>3.3274821093746874E-3</v>
      </c>
    </row>
    <row r="161" spans="1:4" x14ac:dyDescent="0.3">
      <c r="A161" s="16" t="s">
        <v>61</v>
      </c>
      <c r="B161" s="16" t="s">
        <v>73</v>
      </c>
      <c r="C161" s="44">
        <v>81.236075729936644</v>
      </c>
      <c r="D161" s="17">
        <f xml:space="preserve"> C161 / (24 * 'VRP Solver Console'!C10)</f>
        <v>4.8354806982105147E-2</v>
      </c>
    </row>
    <row r="162" spans="1:4" x14ac:dyDescent="0.3">
      <c r="A162" s="16" t="s">
        <v>62</v>
      </c>
      <c r="B162" s="16" t="s">
        <v>52</v>
      </c>
      <c r="C162" s="45">
        <v>56.337909084381188</v>
      </c>
      <c r="D162" s="18">
        <f xml:space="preserve"> C162 / (24 * 'VRP Solver Console'!C10)</f>
        <v>3.3534469693084039E-2</v>
      </c>
    </row>
    <row r="163" spans="1:4" x14ac:dyDescent="0.3">
      <c r="A163" s="16" t="s">
        <v>62</v>
      </c>
      <c r="B163" s="16" t="s">
        <v>54</v>
      </c>
      <c r="C163" s="44">
        <v>65.173767729048777</v>
      </c>
      <c r="D163" s="17">
        <f xml:space="preserve"> C163 / (24 * 'VRP Solver Console'!C10)</f>
        <v>3.8793909362529036E-2</v>
      </c>
    </row>
    <row r="164" spans="1:4" x14ac:dyDescent="0.3">
      <c r="A164" s="16" t="s">
        <v>62</v>
      </c>
      <c r="B164" s="16" t="s">
        <v>56</v>
      </c>
      <c r="C164" s="45">
        <v>84.542297106241449</v>
      </c>
      <c r="D164" s="18">
        <f xml:space="preserve"> C164 / (24 * 'VRP Solver Console'!C10)</f>
        <v>5.0322795896572292E-2</v>
      </c>
    </row>
    <row r="165" spans="1:4" x14ac:dyDescent="0.3">
      <c r="A165" s="16" t="s">
        <v>62</v>
      </c>
      <c r="B165" s="16" t="s">
        <v>57</v>
      </c>
      <c r="C165" s="44">
        <v>33.778395462188548</v>
      </c>
      <c r="D165" s="17">
        <f xml:space="preserve"> C165 / (24 * 'VRP Solver Console'!C10)</f>
        <v>2.0106187775112232E-2</v>
      </c>
    </row>
    <row r="166" spans="1:4" x14ac:dyDescent="0.3">
      <c r="A166" s="16" t="s">
        <v>62</v>
      </c>
      <c r="B166" s="16" t="s">
        <v>58</v>
      </c>
      <c r="C166" s="45">
        <v>90.505800919057123</v>
      </c>
      <c r="D166" s="18">
        <f xml:space="preserve"> C166 / (24 * 'VRP Solver Console'!C10)</f>
        <v>5.3872500547057812E-2</v>
      </c>
    </row>
    <row r="167" spans="1:4" x14ac:dyDescent="0.3">
      <c r="A167" s="16" t="s">
        <v>62</v>
      </c>
      <c r="B167" s="16" t="s">
        <v>59</v>
      </c>
      <c r="C167" s="44">
        <v>42.184831397079215</v>
      </c>
      <c r="D167" s="17">
        <f xml:space="preserve"> C167 / (24 * 'VRP Solver Console'!C10)</f>
        <v>2.5110018688737627E-2</v>
      </c>
    </row>
    <row r="168" spans="1:4" x14ac:dyDescent="0.3">
      <c r="A168" s="16" t="s">
        <v>62</v>
      </c>
      <c r="B168" s="16" t="s">
        <v>60</v>
      </c>
      <c r="C168" s="45">
        <v>61.983868869246933</v>
      </c>
      <c r="D168" s="18">
        <f xml:space="preserve"> C168 / (24 * 'VRP Solver Console'!C10)</f>
        <v>3.6895160041218414E-2</v>
      </c>
    </row>
    <row r="169" spans="1:4" x14ac:dyDescent="0.3">
      <c r="A169" s="16" t="s">
        <v>62</v>
      </c>
      <c r="B169" s="16" t="s">
        <v>61</v>
      </c>
      <c r="C169" s="44">
        <v>83.015962320507967</v>
      </c>
      <c r="D169" s="17">
        <f xml:space="preserve"> C169 / (24 * 'VRP Solver Console'!C10)</f>
        <v>4.9414263286016648E-2</v>
      </c>
    </row>
    <row r="170" spans="1:4" x14ac:dyDescent="0.3">
      <c r="A170" s="16" t="s">
        <v>62</v>
      </c>
      <c r="B170" s="16" t="s">
        <v>62</v>
      </c>
      <c r="C170" s="45">
        <v>0</v>
      </c>
      <c r="D170" s="18">
        <v>0</v>
      </c>
    </row>
    <row r="171" spans="1:4" x14ac:dyDescent="0.3">
      <c r="A171" s="16" t="s">
        <v>62</v>
      </c>
      <c r="B171" s="16" t="s">
        <v>63</v>
      </c>
      <c r="C171" s="44">
        <v>54.087059450482236</v>
      </c>
      <c r="D171" s="17">
        <f xml:space="preserve"> C171 / (24 * 'VRP Solver Console'!C10)</f>
        <v>3.2194678244334668E-2</v>
      </c>
    </row>
    <row r="172" spans="1:4" x14ac:dyDescent="0.3">
      <c r="A172" s="16" t="s">
        <v>62</v>
      </c>
      <c r="B172" s="16" t="s">
        <v>64</v>
      </c>
      <c r="C172" s="45">
        <v>34.200146198517928</v>
      </c>
      <c r="D172" s="18">
        <f xml:space="preserve"> C172 / (24 * 'VRP Solver Console'!C10)</f>
        <v>2.0357229880070195E-2</v>
      </c>
    </row>
    <row r="173" spans="1:4" x14ac:dyDescent="0.3">
      <c r="A173" s="16" t="s">
        <v>62</v>
      </c>
      <c r="B173" s="16" t="s">
        <v>65</v>
      </c>
      <c r="C173" s="44">
        <v>113.16227286512056</v>
      </c>
      <c r="D173" s="17">
        <f xml:space="preserve"> C173 / (24 * 'VRP Solver Console'!C10)</f>
        <v>6.7358495753047948E-2</v>
      </c>
    </row>
    <row r="174" spans="1:4" x14ac:dyDescent="0.3">
      <c r="A174" s="16" t="s">
        <v>62</v>
      </c>
      <c r="B174" s="16" t="s">
        <v>66</v>
      </c>
      <c r="C174" s="45">
        <v>3.5</v>
      </c>
      <c r="D174" s="18">
        <f xml:space="preserve"> C174 / (24 * 'VRP Solver Console'!C10)</f>
        <v>2.0833333333333333E-3</v>
      </c>
    </row>
    <row r="175" spans="1:4" x14ac:dyDescent="0.3">
      <c r="A175" s="16" t="s">
        <v>62</v>
      </c>
      <c r="B175" s="16" t="s">
        <v>67</v>
      </c>
      <c r="C175" s="44">
        <v>14.33771250932309</v>
      </c>
      <c r="D175" s="17">
        <f xml:space="preserve"> C175 / (24 * 'VRP Solver Console'!C10)</f>
        <v>8.5343526841208869E-3</v>
      </c>
    </row>
    <row r="176" spans="1:4" x14ac:dyDescent="0.3">
      <c r="A176" s="16" t="s">
        <v>62</v>
      </c>
      <c r="B176" s="16" t="s">
        <v>68</v>
      </c>
      <c r="C176" s="45">
        <v>46.460843728886374</v>
      </c>
      <c r="D176" s="18">
        <f xml:space="preserve"> C176 / (24 * 'VRP Solver Console'!C10)</f>
        <v>2.7655264124337126E-2</v>
      </c>
    </row>
    <row r="177" spans="1:4" x14ac:dyDescent="0.3">
      <c r="A177" s="16" t="s">
        <v>62</v>
      </c>
      <c r="B177" s="16" t="s">
        <v>69</v>
      </c>
      <c r="C177" s="44">
        <v>62.230940857422361</v>
      </c>
      <c r="D177" s="17">
        <f xml:space="preserve"> C177 / (24 * 'VRP Solver Console'!C10)</f>
        <v>3.7042226700846642E-2</v>
      </c>
    </row>
    <row r="178" spans="1:4" x14ac:dyDescent="0.3">
      <c r="A178" s="16" t="s">
        <v>62</v>
      </c>
      <c r="B178" s="16" t="s">
        <v>70</v>
      </c>
      <c r="C178" s="45">
        <v>44.473924944848299</v>
      </c>
      <c r="D178" s="18">
        <f xml:space="preserve"> C178 / (24 * 'VRP Solver Console'!C10)</f>
        <v>2.647257437193351E-2</v>
      </c>
    </row>
    <row r="179" spans="1:4" x14ac:dyDescent="0.3">
      <c r="A179" s="16" t="s">
        <v>62</v>
      </c>
      <c r="B179" s="16" t="s">
        <v>71</v>
      </c>
      <c r="C179" s="44">
        <v>20.85209821576716</v>
      </c>
      <c r="D179" s="17">
        <f xml:space="preserve"> C179 / (24 * 'VRP Solver Console'!C10)</f>
        <v>1.2411963223670929E-2</v>
      </c>
    </row>
    <row r="180" spans="1:4" x14ac:dyDescent="0.3">
      <c r="A180" s="16" t="s">
        <v>62</v>
      </c>
      <c r="B180" s="16" t="s">
        <v>72</v>
      </c>
      <c r="C180" s="45">
        <v>86.816703461949075</v>
      </c>
      <c r="D180" s="18">
        <f xml:space="preserve"> C180 / (24 * 'VRP Solver Console'!C10)</f>
        <v>5.1676609203541113E-2</v>
      </c>
    </row>
    <row r="181" spans="1:4" x14ac:dyDescent="0.3">
      <c r="A181" s="16" t="s">
        <v>62</v>
      </c>
      <c r="B181" s="16" t="s">
        <v>73</v>
      </c>
      <c r="C181" s="44">
        <v>106.62199585451401</v>
      </c>
      <c r="D181" s="17">
        <f xml:space="preserve"> C181 / (24 * 'VRP Solver Console'!C10)</f>
        <v>6.3465473722925006E-2</v>
      </c>
    </row>
    <row r="182" spans="1:4" x14ac:dyDescent="0.3">
      <c r="A182" s="16" t="s">
        <v>63</v>
      </c>
      <c r="B182" s="16" t="s">
        <v>52</v>
      </c>
      <c r="C182" s="45">
        <v>14.773286702694158</v>
      </c>
      <c r="D182" s="18">
        <f xml:space="preserve"> C182 / (24 * 'VRP Solver Console'!C10)</f>
        <v>8.7936230373179512E-3</v>
      </c>
    </row>
    <row r="183" spans="1:4" x14ac:dyDescent="0.3">
      <c r="A183" s="16" t="s">
        <v>63</v>
      </c>
      <c r="B183" s="16" t="s">
        <v>54</v>
      </c>
      <c r="C183" s="44">
        <v>30.581203377238118</v>
      </c>
      <c r="D183" s="17">
        <f xml:space="preserve"> C183 / (24 * 'VRP Solver Console'!C10)</f>
        <v>1.8203097248356021E-2</v>
      </c>
    </row>
    <row r="184" spans="1:4" x14ac:dyDescent="0.3">
      <c r="A184" s="16" t="s">
        <v>63</v>
      </c>
      <c r="B184" s="16" t="s">
        <v>56</v>
      </c>
      <c r="C184" s="45">
        <v>40.617360820220711</v>
      </c>
      <c r="D184" s="18">
        <f xml:space="preserve"> C184 / (24 * 'VRP Solver Console'!C10)</f>
        <v>2.4177000488226612E-2</v>
      </c>
    </row>
    <row r="185" spans="1:4" x14ac:dyDescent="0.3">
      <c r="A185" s="16" t="s">
        <v>63</v>
      </c>
      <c r="B185" s="16" t="s">
        <v>57</v>
      </c>
      <c r="C185" s="44">
        <v>39.757389250301635</v>
      </c>
      <c r="D185" s="17">
        <f xml:space="preserve"> C185 / (24 * 'VRP Solver Console'!C10)</f>
        <v>2.3665112648989069E-2</v>
      </c>
    </row>
    <row r="186" spans="1:4" x14ac:dyDescent="0.3">
      <c r="A186" s="16" t="s">
        <v>63</v>
      </c>
      <c r="B186" s="16" t="s">
        <v>58</v>
      </c>
      <c r="C186" s="45">
        <v>37.220021493814322</v>
      </c>
      <c r="D186" s="18">
        <f xml:space="preserve"> C186 / (24 * 'VRP Solver Console'!C10)</f>
        <v>2.2154774698699E-2</v>
      </c>
    </row>
    <row r="187" spans="1:4" x14ac:dyDescent="0.3">
      <c r="A187" s="16" t="s">
        <v>63</v>
      </c>
      <c r="B187" s="16" t="s">
        <v>59</v>
      </c>
      <c r="C187" s="44">
        <v>17.537673733993341</v>
      </c>
      <c r="D187" s="17">
        <f xml:space="preserve"> C187 / (24 * 'VRP Solver Console'!C10)</f>
        <v>1.0439091508329369E-2</v>
      </c>
    </row>
    <row r="188" spans="1:4" x14ac:dyDescent="0.3">
      <c r="A188" s="16" t="s">
        <v>63</v>
      </c>
      <c r="B188" s="16" t="s">
        <v>60</v>
      </c>
      <c r="C188" s="45">
        <v>46.938363840253309</v>
      </c>
      <c r="D188" s="18">
        <f xml:space="preserve"> C188 / (24 * 'VRP Solver Console'!C10)</f>
        <v>2.7939502285865066E-2</v>
      </c>
    </row>
    <row r="189" spans="1:4" x14ac:dyDescent="0.3">
      <c r="A189" s="16" t="s">
        <v>63</v>
      </c>
      <c r="B189" s="16" t="s">
        <v>61</v>
      </c>
      <c r="C189" s="44">
        <v>45.851935618902722</v>
      </c>
      <c r="D189" s="17">
        <f xml:space="preserve"> C189 / (24 * 'VRP Solver Console'!C10)</f>
        <v>2.729281882077543E-2</v>
      </c>
    </row>
    <row r="190" spans="1:4" x14ac:dyDescent="0.3">
      <c r="A190" s="16" t="s">
        <v>63</v>
      </c>
      <c r="B190" s="16" t="s">
        <v>62</v>
      </c>
      <c r="C190" s="45">
        <v>54.087059450482236</v>
      </c>
      <c r="D190" s="18">
        <f xml:space="preserve"> C190 / (24 * 'VRP Solver Console'!C10)</f>
        <v>3.2194678244334668E-2</v>
      </c>
    </row>
    <row r="191" spans="1:4" x14ac:dyDescent="0.3">
      <c r="A191" s="16" t="s">
        <v>63</v>
      </c>
      <c r="B191" s="16" t="s">
        <v>63</v>
      </c>
      <c r="C191" s="44">
        <v>0</v>
      </c>
      <c r="D191" s="17">
        <v>0</v>
      </c>
    </row>
    <row r="192" spans="1:4" x14ac:dyDescent="0.3">
      <c r="A192" s="16" t="s">
        <v>63</v>
      </c>
      <c r="B192" s="16" t="s">
        <v>64</v>
      </c>
      <c r="C192" s="45">
        <v>38.596631977414816</v>
      </c>
      <c r="D192" s="18">
        <f xml:space="preserve"> C192 / (24 * 'VRP Solver Console'!C10)</f>
        <v>2.2974185700842153E-2</v>
      </c>
    </row>
    <row r="193" spans="1:4" x14ac:dyDescent="0.3">
      <c r="A193" s="16" t="s">
        <v>63</v>
      </c>
      <c r="B193" s="16" t="s">
        <v>65</v>
      </c>
      <c r="C193" s="44">
        <v>62.832236948878403</v>
      </c>
      <c r="D193" s="17">
        <f xml:space="preserve"> C193 / (24 * 'VRP Solver Console'!C10)</f>
        <v>3.7400141040999049E-2</v>
      </c>
    </row>
    <row r="194" spans="1:4" x14ac:dyDescent="0.3">
      <c r="A194" s="16" t="s">
        <v>63</v>
      </c>
      <c r="B194" s="16" t="s">
        <v>66</v>
      </c>
      <c r="C194" s="45">
        <v>57.277046013215447</v>
      </c>
      <c r="D194" s="18">
        <f xml:space="preserve"> C194 / (24 * 'VRP Solver Console'!C10)</f>
        <v>3.4093479769771097E-2</v>
      </c>
    </row>
    <row r="195" spans="1:4" x14ac:dyDescent="0.3">
      <c r="A195" s="16" t="s">
        <v>63</v>
      </c>
      <c r="B195" s="16" t="s">
        <v>67</v>
      </c>
      <c r="C195" s="44">
        <v>43.223373306580321</v>
      </c>
      <c r="D195" s="17">
        <f xml:space="preserve"> C195 / (24 * 'VRP Solver Console'!C10)</f>
        <v>2.5728198396774E-2</v>
      </c>
    </row>
    <row r="196" spans="1:4" x14ac:dyDescent="0.3">
      <c r="A196" s="16" t="s">
        <v>63</v>
      </c>
      <c r="B196" s="16" t="s">
        <v>68</v>
      </c>
      <c r="C196" s="45">
        <v>13.946325680981353</v>
      </c>
      <c r="D196" s="18">
        <f xml:space="preserve"> C196 / (24 * 'VRP Solver Console'!C10)</f>
        <v>8.301384333917472E-3</v>
      </c>
    </row>
    <row r="197" spans="1:4" x14ac:dyDescent="0.3">
      <c r="A197" s="16" t="s">
        <v>63</v>
      </c>
      <c r="B197" s="16" t="s">
        <v>69</v>
      </c>
      <c r="C197" s="44">
        <v>8.5475142585432398</v>
      </c>
      <c r="D197" s="17">
        <f xml:space="preserve"> C197 / (24 * 'VRP Solver Console'!C10)</f>
        <v>5.0878061062757376E-3</v>
      </c>
    </row>
    <row r="198" spans="1:4" x14ac:dyDescent="0.3">
      <c r="A198" s="16" t="s">
        <v>63</v>
      </c>
      <c r="B198" s="16" t="s">
        <v>70</v>
      </c>
      <c r="C198" s="45">
        <v>36.056899478463201</v>
      </c>
      <c r="D198" s="18">
        <f xml:space="preserve"> C198 / (24 * 'VRP Solver Console'!C10)</f>
        <v>2.1462440165751905E-2</v>
      </c>
    </row>
    <row r="199" spans="1:4" x14ac:dyDescent="0.3">
      <c r="A199" s="16" t="s">
        <v>63</v>
      </c>
      <c r="B199" s="16" t="s">
        <v>71</v>
      </c>
      <c r="C199" s="44">
        <v>43.197453628657321</v>
      </c>
      <c r="D199" s="17">
        <f xml:space="preserve"> C199 / (24 * 'VRP Solver Console'!C10)</f>
        <v>2.5712770017057931E-2</v>
      </c>
    </row>
    <row r="200" spans="1:4" x14ac:dyDescent="0.3">
      <c r="A200" s="16" t="s">
        <v>63</v>
      </c>
      <c r="B200" s="16" t="s">
        <v>72</v>
      </c>
      <c r="C200" s="45">
        <v>46.605257214181322</v>
      </c>
      <c r="D200" s="18">
        <f xml:space="preserve"> C200 / (24 * 'VRP Solver Console'!C10)</f>
        <v>2.7741224532250787E-2</v>
      </c>
    </row>
    <row r="201" spans="1:4" x14ac:dyDescent="0.3">
      <c r="A201" s="16" t="s">
        <v>63</v>
      </c>
      <c r="B201" s="16" t="s">
        <v>73</v>
      </c>
      <c r="C201" s="44">
        <v>57.664720583733001</v>
      </c>
      <c r="D201" s="17">
        <f xml:space="preserve"> C201 / (24 * 'VRP Solver Console'!C10)</f>
        <v>3.4324238442698211E-2</v>
      </c>
    </row>
    <row r="202" spans="1:4" x14ac:dyDescent="0.3">
      <c r="A202" s="16" t="s">
        <v>64</v>
      </c>
      <c r="B202" s="16" t="s">
        <v>52</v>
      </c>
      <c r="C202" s="45">
        <v>49.417102302745356</v>
      </c>
      <c r="D202" s="18">
        <f xml:space="preserve"> C202 / (24 * 'VRP Solver Console'!C10)</f>
        <v>2.9414941846872236E-2</v>
      </c>
    </row>
    <row r="203" spans="1:4" x14ac:dyDescent="0.3">
      <c r="A203" s="16" t="s">
        <v>64</v>
      </c>
      <c r="B203" s="16" t="s">
        <v>54</v>
      </c>
      <c r="C203" s="44">
        <v>34.1275548494175</v>
      </c>
      <c r="D203" s="17">
        <f xml:space="preserve"> C203 / (24 * 'VRP Solver Console'!C10)</f>
        <v>2.0314020743700891E-2</v>
      </c>
    </row>
    <row r="204" spans="1:4" x14ac:dyDescent="0.3">
      <c r="A204" s="16" t="s">
        <v>64</v>
      </c>
      <c r="B204" s="16" t="s">
        <v>56</v>
      </c>
      <c r="C204" s="45">
        <v>78.520124808866683</v>
      </c>
      <c r="D204" s="18">
        <f xml:space="preserve"> C204 / (24 * 'VRP Solver Console'!C10)</f>
        <v>4.6738169529087312E-2</v>
      </c>
    </row>
    <row r="205" spans="1:4" x14ac:dyDescent="0.3">
      <c r="A205" s="16" t="s">
        <v>64</v>
      </c>
      <c r="B205" s="16" t="s">
        <v>57</v>
      </c>
      <c r="C205" s="44">
        <v>1.2041594578792323</v>
      </c>
      <c r="D205" s="17">
        <f xml:space="preserve"> C205 / (24 * 'VRP Solver Console'!C10)</f>
        <v>7.1676158207097161E-4</v>
      </c>
    </row>
    <row r="206" spans="1:4" x14ac:dyDescent="0.3">
      <c r="A206" s="16" t="s">
        <v>64</v>
      </c>
      <c r="B206" s="16" t="s">
        <v>58</v>
      </c>
      <c r="C206" s="45">
        <v>67.422325679258506</v>
      </c>
      <c r="D206" s="18">
        <f xml:space="preserve"> C206 / (24 * 'VRP Solver Console'!C10)</f>
        <v>4.0132336713844349E-2</v>
      </c>
    </row>
    <row r="207" spans="1:4" x14ac:dyDescent="0.3">
      <c r="A207" s="16" t="s">
        <v>64</v>
      </c>
      <c r="B207" s="16" t="s">
        <v>59</v>
      </c>
      <c r="C207" s="44">
        <v>21.063950246807934</v>
      </c>
      <c r="D207" s="17">
        <f xml:space="preserve"> C207 / (24 * 'VRP Solver Console'!C10)</f>
        <v>1.2538065623099962E-2</v>
      </c>
    </row>
    <row r="208" spans="1:4" x14ac:dyDescent="0.3">
      <c r="A208" s="16" t="s">
        <v>64</v>
      </c>
      <c r="B208" s="16" t="s">
        <v>60</v>
      </c>
      <c r="C208" s="45">
        <v>72.001736090180486</v>
      </c>
      <c r="D208" s="18">
        <f xml:space="preserve"> C208 / (24 * 'VRP Solver Console'!C10)</f>
        <v>4.2858176244155048E-2</v>
      </c>
    </row>
    <row r="209" spans="1:4" x14ac:dyDescent="0.3">
      <c r="A209" s="16" t="s">
        <v>64</v>
      </c>
      <c r="B209" s="16" t="s">
        <v>61</v>
      </c>
      <c r="C209" s="44">
        <v>50.621141828291471</v>
      </c>
      <c r="D209" s="17">
        <f xml:space="preserve"> C209 / (24 * 'VRP Solver Console'!C10)</f>
        <v>3.0131632040649683E-2</v>
      </c>
    </row>
    <row r="210" spans="1:4" x14ac:dyDescent="0.3">
      <c r="A210" s="16" t="s">
        <v>64</v>
      </c>
      <c r="B210" s="16" t="s">
        <v>62</v>
      </c>
      <c r="C210" s="45">
        <v>34.200146198517928</v>
      </c>
      <c r="D210" s="18">
        <f xml:space="preserve"> C210 / (24 * 'VRP Solver Console'!C10)</f>
        <v>2.0357229880070195E-2</v>
      </c>
    </row>
    <row r="211" spans="1:4" x14ac:dyDescent="0.3">
      <c r="A211" s="16" t="s">
        <v>64</v>
      </c>
      <c r="B211" s="16" t="s">
        <v>63</v>
      </c>
      <c r="C211" s="44">
        <v>38.596631977414816</v>
      </c>
      <c r="D211" s="17">
        <f xml:space="preserve"> C211 / (24 * 'VRP Solver Console'!C10)</f>
        <v>2.2974185700842153E-2</v>
      </c>
    </row>
    <row r="212" spans="1:4" x14ac:dyDescent="0.3">
      <c r="A212" s="16" t="s">
        <v>64</v>
      </c>
      <c r="B212" s="16" t="s">
        <v>64</v>
      </c>
      <c r="C212" s="45">
        <v>0</v>
      </c>
      <c r="D212" s="18">
        <v>0</v>
      </c>
    </row>
    <row r="213" spans="1:4" x14ac:dyDescent="0.3">
      <c r="A213" s="16" t="s">
        <v>64</v>
      </c>
      <c r="B213" s="16" t="s">
        <v>65</v>
      </c>
      <c r="C213" s="44">
        <v>101.08140283949368</v>
      </c>
      <c r="D213" s="17">
        <f xml:space="preserve"> C213 / (24 * 'VRP Solver Console'!C10)</f>
        <v>6.0167501690174804E-2</v>
      </c>
    </row>
    <row r="214" spans="1:4" x14ac:dyDescent="0.3">
      <c r="A214" s="16" t="s">
        <v>64</v>
      </c>
      <c r="B214" s="16" t="s">
        <v>66</v>
      </c>
      <c r="C214" s="45">
        <v>37.50466637633243</v>
      </c>
      <c r="D214" s="18">
        <f xml:space="preserve"> C214 / (24 * 'VRP Solver Console'!C10)</f>
        <v>2.2324206176388351E-2</v>
      </c>
    </row>
    <row r="215" spans="1:4" x14ac:dyDescent="0.3">
      <c r="A215" s="16" t="s">
        <v>64</v>
      </c>
      <c r="B215" s="16" t="s">
        <v>67</v>
      </c>
      <c r="C215" s="44">
        <v>20.21484602958925</v>
      </c>
      <c r="D215" s="17">
        <f xml:space="preserve"> C215 / (24 * 'VRP Solver Console'!C10)</f>
        <v>1.2032646446184077E-2</v>
      </c>
    </row>
    <row r="216" spans="1:4" x14ac:dyDescent="0.3">
      <c r="A216" s="16" t="s">
        <v>64</v>
      </c>
      <c r="B216" s="16" t="s">
        <v>68</v>
      </c>
      <c r="C216" s="45">
        <v>25.079872407968907</v>
      </c>
      <c r="D216" s="18">
        <f xml:space="preserve"> C216 / (24 * 'VRP Solver Console'!C10)</f>
        <v>1.4928495480933873E-2</v>
      </c>
    </row>
    <row r="217" spans="1:4" x14ac:dyDescent="0.3">
      <c r="A217" s="16" t="s">
        <v>64</v>
      </c>
      <c r="B217" s="16" t="s">
        <v>69</v>
      </c>
      <c r="C217" s="44">
        <v>43.732367875522129</v>
      </c>
      <c r="D217" s="17">
        <f xml:space="preserve"> C217 / (24 * 'VRP Solver Console'!C10)</f>
        <v>2.6031171354477457E-2</v>
      </c>
    </row>
    <row r="218" spans="1:4" x14ac:dyDescent="0.3">
      <c r="A218" s="16" t="s">
        <v>64</v>
      </c>
      <c r="B218" s="16" t="s">
        <v>70</v>
      </c>
      <c r="C218" s="45">
        <v>54.535493029769157</v>
      </c>
      <c r="D218" s="18">
        <f xml:space="preserve"> C218 / (24 * 'VRP Solver Console'!C10)</f>
        <v>3.246160299391021E-2</v>
      </c>
    </row>
    <row r="219" spans="1:4" x14ac:dyDescent="0.3">
      <c r="A219" s="16" t="s">
        <v>64</v>
      </c>
      <c r="B219" s="16" t="s">
        <v>71</v>
      </c>
      <c r="C219" s="44">
        <v>41.202912518413065</v>
      </c>
      <c r="D219" s="17">
        <f xml:space="preserve"> C219 / (24 * 'VRP Solver Console'!C10)</f>
        <v>2.4525543165722061E-2</v>
      </c>
    </row>
    <row r="220" spans="1:4" x14ac:dyDescent="0.3">
      <c r="A220" s="16" t="s">
        <v>64</v>
      </c>
      <c r="B220" s="16" t="s">
        <v>72</v>
      </c>
      <c r="C220" s="45">
        <v>55.085842101215086</v>
      </c>
      <c r="D220" s="18">
        <f xml:space="preserve"> C220 / (24 * 'VRP Solver Console'!C10)</f>
        <v>3.278919172691374E-2</v>
      </c>
    </row>
    <row r="221" spans="1:4" x14ac:dyDescent="0.3">
      <c r="A221" s="16" t="s">
        <v>64</v>
      </c>
      <c r="B221" s="16" t="s">
        <v>73</v>
      </c>
      <c r="C221" s="44">
        <v>96.201871083674874</v>
      </c>
      <c r="D221" s="17">
        <f xml:space="preserve"> C221 / (24 * 'VRP Solver Console'!C10)</f>
        <v>5.7263018502187422E-2</v>
      </c>
    </row>
    <row r="222" spans="1:4" x14ac:dyDescent="0.3">
      <c r="A222" s="16" t="s">
        <v>65</v>
      </c>
      <c r="B222" s="16" t="s">
        <v>52</v>
      </c>
      <c r="C222" s="45">
        <v>56.82904187121229</v>
      </c>
      <c r="D222" s="18">
        <f xml:space="preserve"> C222 / (24 * 'VRP Solver Console'!C10)</f>
        <v>3.382681063762636E-2</v>
      </c>
    </row>
    <row r="223" spans="1:4" x14ac:dyDescent="0.3">
      <c r="A223" s="16" t="s">
        <v>65</v>
      </c>
      <c r="B223" s="16" t="s">
        <v>54</v>
      </c>
      <c r="C223" s="44">
        <v>79.707966979468239</v>
      </c>
      <c r="D223" s="17">
        <f xml:space="preserve"> C223 / (24 * 'VRP Solver Console'!C10)</f>
        <v>4.7445218440159663E-2</v>
      </c>
    </row>
    <row r="224" spans="1:4" x14ac:dyDescent="0.3">
      <c r="A224" s="16" t="s">
        <v>65</v>
      </c>
      <c r="B224" s="16" t="s">
        <v>56</v>
      </c>
      <c r="C224" s="45">
        <v>31.145144083789365</v>
      </c>
      <c r="D224" s="18">
        <f xml:space="preserve"> C224 / (24 * 'VRP Solver Console'!C10)</f>
        <v>1.8538776240350812E-2</v>
      </c>
    </row>
    <row r="225" spans="1:4" x14ac:dyDescent="0.3">
      <c r="A225" s="16" t="s">
        <v>65</v>
      </c>
      <c r="B225" s="16" t="s">
        <v>57</v>
      </c>
      <c r="C225" s="44">
        <v>102.26886134107487</v>
      </c>
      <c r="D225" s="17">
        <f xml:space="preserve"> C225 / (24 * 'VRP Solver Console'!C10)</f>
        <v>6.0874322226830278E-2</v>
      </c>
    </row>
    <row r="226" spans="1:4" x14ac:dyDescent="0.3">
      <c r="A226" s="16" t="s">
        <v>65</v>
      </c>
      <c r="B226" s="16" t="s">
        <v>58</v>
      </c>
      <c r="C226" s="45">
        <v>44.8</v>
      </c>
      <c r="D226" s="18">
        <f xml:space="preserve"> C226 / (24 * 'VRP Solver Console'!C10)</f>
        <v>2.6666666666666665E-2</v>
      </c>
    </row>
    <row r="227" spans="1:4" x14ac:dyDescent="0.3">
      <c r="A227" s="16" t="s">
        <v>65</v>
      </c>
      <c r="B227" s="16" t="s">
        <v>59</v>
      </c>
      <c r="C227" s="44">
        <v>80.127523361202179</v>
      </c>
      <c r="D227" s="17">
        <f xml:space="preserve"> C227 / (24 * 'VRP Solver Console'!C10)</f>
        <v>4.7694954381667966E-2</v>
      </c>
    </row>
    <row r="228" spans="1:4" x14ac:dyDescent="0.3">
      <c r="A228" s="16" t="s">
        <v>65</v>
      </c>
      <c r="B228" s="16" t="s">
        <v>60</v>
      </c>
      <c r="C228" s="45">
        <v>68.343982909982657</v>
      </c>
      <c r="D228" s="18">
        <f xml:space="preserve"> C228 / (24 * 'VRP Solver Console'!C10)</f>
        <v>4.0680942208323009E-2</v>
      </c>
    </row>
    <row r="229" spans="1:4" x14ac:dyDescent="0.3">
      <c r="A229" s="16" t="s">
        <v>65</v>
      </c>
      <c r="B229" s="16" t="s">
        <v>61</v>
      </c>
      <c r="C229" s="44">
        <v>82.258434218018039</v>
      </c>
      <c r="D229" s="17">
        <f xml:space="preserve"> C229 / (24 * 'VRP Solver Console'!C10)</f>
        <v>4.8963353701201216E-2</v>
      </c>
    </row>
    <row r="230" spans="1:4" x14ac:dyDescent="0.3">
      <c r="A230" s="16" t="s">
        <v>65</v>
      </c>
      <c r="B230" s="16" t="s">
        <v>62</v>
      </c>
      <c r="C230" s="45">
        <v>113.16227286512056</v>
      </c>
      <c r="D230" s="18">
        <f xml:space="preserve"> C230 / (24 * 'VRP Solver Console'!C10)</f>
        <v>6.7358495753047948E-2</v>
      </c>
    </row>
    <row r="231" spans="1:4" x14ac:dyDescent="0.3">
      <c r="A231" s="16" t="s">
        <v>65</v>
      </c>
      <c r="B231" s="16" t="s">
        <v>63</v>
      </c>
      <c r="C231" s="44">
        <v>62.832236948878403</v>
      </c>
      <c r="D231" s="17">
        <f xml:space="preserve"> C231 / (24 * 'VRP Solver Console'!C10)</f>
        <v>3.7400141040999049E-2</v>
      </c>
    </row>
    <row r="232" spans="1:4" x14ac:dyDescent="0.3">
      <c r="A232" s="16" t="s">
        <v>65</v>
      </c>
      <c r="B232" s="16" t="s">
        <v>64</v>
      </c>
      <c r="C232" s="45">
        <v>101.08140283949368</v>
      </c>
      <c r="D232" s="18">
        <f xml:space="preserve"> C232 / (24 * 'VRP Solver Console'!C10)</f>
        <v>6.0167501690174804E-2</v>
      </c>
    </row>
    <row r="233" spans="1:4" x14ac:dyDescent="0.3">
      <c r="A233" s="16" t="s">
        <v>65</v>
      </c>
      <c r="B233" s="16" t="s">
        <v>65</v>
      </c>
      <c r="C233" s="44">
        <v>0</v>
      </c>
      <c r="D233" s="17">
        <v>0</v>
      </c>
    </row>
    <row r="234" spans="1:4" x14ac:dyDescent="0.3">
      <c r="A234" s="16" t="s">
        <v>65</v>
      </c>
      <c r="B234" s="16" t="s">
        <v>66</v>
      </c>
      <c r="C234" s="45">
        <v>115.83544362586092</v>
      </c>
      <c r="D234" s="18">
        <f xml:space="preserve"> C234 / (24 * 'VRP Solver Console'!C10)</f>
        <v>6.894966882491721E-2</v>
      </c>
    </row>
    <row r="235" spans="1:4" x14ac:dyDescent="0.3">
      <c r="A235" s="16" t="s">
        <v>65</v>
      </c>
      <c r="B235" s="16" t="s">
        <v>67</v>
      </c>
      <c r="C235" s="44">
        <v>104.77981675876323</v>
      </c>
      <c r="D235" s="17">
        <f xml:space="preserve"> C235 / (24 * 'VRP Solver Console'!C10)</f>
        <v>6.2368938546882878E-2</v>
      </c>
    </row>
    <row r="236" spans="1:4" x14ac:dyDescent="0.3">
      <c r="A236" s="16" t="s">
        <v>65</v>
      </c>
      <c r="B236" s="16" t="s">
        <v>68</v>
      </c>
      <c r="C236" s="45">
        <v>76.001907870789665</v>
      </c>
      <c r="D236" s="18">
        <f xml:space="preserve"> C236 / (24 * 'VRP Solver Console'!C10)</f>
        <v>4.5239230875470042E-2</v>
      </c>
    </row>
    <row r="237" spans="1:4" x14ac:dyDescent="0.3">
      <c r="A237" s="16" t="s">
        <v>65</v>
      </c>
      <c r="B237" s="16" t="s">
        <v>69</v>
      </c>
      <c r="C237" s="44">
        <v>57.491303690210401</v>
      </c>
      <c r="D237" s="17">
        <f xml:space="preserve"> C237 / (24 * 'VRP Solver Console'!C10)</f>
        <v>3.4221014101315714E-2</v>
      </c>
    </row>
    <row r="238" spans="1:4" x14ac:dyDescent="0.3">
      <c r="A238" s="16" t="s">
        <v>65</v>
      </c>
      <c r="B238" s="16" t="s">
        <v>70</v>
      </c>
      <c r="C238" s="45">
        <v>75.628103242114975</v>
      </c>
      <c r="D238" s="18">
        <f xml:space="preserve"> C238 / (24 * 'VRP Solver Console'!C10)</f>
        <v>4.5016728120306534E-2</v>
      </c>
    </row>
    <row r="239" spans="1:4" x14ac:dyDescent="0.3">
      <c r="A239" s="16" t="s">
        <v>65</v>
      </c>
      <c r="B239" s="16" t="s">
        <v>71</v>
      </c>
      <c r="C239" s="44">
        <v>96.297715445383233</v>
      </c>
      <c r="D239" s="17">
        <f xml:space="preserve"> C239 / (24 * 'VRP Solver Console'!C10)</f>
        <v>5.7320068717490021E-2</v>
      </c>
    </row>
    <row r="240" spans="1:4" x14ac:dyDescent="0.3">
      <c r="A240" s="16" t="s">
        <v>65</v>
      </c>
      <c r="B240" s="16" t="s">
        <v>72</v>
      </c>
      <c r="C240" s="45">
        <v>78.406377291646379</v>
      </c>
      <c r="D240" s="18">
        <f xml:space="preserve"> C240 / (24 * 'VRP Solver Console'!C10)</f>
        <v>4.6670462673599034E-2</v>
      </c>
    </row>
    <row r="241" spans="1:4" x14ac:dyDescent="0.3">
      <c r="A241" s="16" t="s">
        <v>65</v>
      </c>
      <c r="B241" s="16" t="s">
        <v>73</v>
      </c>
      <c r="C241" s="44">
        <v>7.8771822373231908</v>
      </c>
      <c r="D241" s="17">
        <f xml:space="preserve"> C241 / (24 * 'VRP Solver Console'!C10)</f>
        <v>4.6887989507876137E-3</v>
      </c>
    </row>
    <row r="242" spans="1:4" x14ac:dyDescent="0.3">
      <c r="A242" s="16" t="s">
        <v>66</v>
      </c>
      <c r="B242" s="16" t="s">
        <v>52</v>
      </c>
      <c r="C242" s="45">
        <v>59.052603668254967</v>
      </c>
      <c r="D242" s="18">
        <f xml:space="preserve"> C242 / (24 * 'VRP Solver Console'!C10)</f>
        <v>3.5150359326342244E-2</v>
      </c>
    </row>
    <row r="243" spans="1:4" x14ac:dyDescent="0.3">
      <c r="A243" s="16" t="s">
        <v>66</v>
      </c>
      <c r="B243" s="16" t="s">
        <v>54</v>
      </c>
      <c r="C243" s="44">
        <v>68.67000800931946</v>
      </c>
      <c r="D243" s="17">
        <f xml:space="preserve"> C243 / (24 * 'VRP Solver Console'!C10)</f>
        <v>4.087500476745206E-2</v>
      </c>
    </row>
    <row r="244" spans="1:4" x14ac:dyDescent="0.3">
      <c r="A244" s="16" t="s">
        <v>66</v>
      </c>
      <c r="B244" s="16" t="s">
        <v>56</v>
      </c>
      <c r="C244" s="45">
        <v>86.924392433884748</v>
      </c>
      <c r="D244" s="18">
        <f xml:space="preserve"> C244 / (24 * 'VRP Solver Console'!C10)</f>
        <v>5.1740709782074255E-2</v>
      </c>
    </row>
    <row r="245" spans="1:4" x14ac:dyDescent="0.3">
      <c r="A245" s="16" t="s">
        <v>66</v>
      </c>
      <c r="B245" s="16" t="s">
        <v>57</v>
      </c>
      <c r="C245" s="44">
        <v>37.044972668366213</v>
      </c>
      <c r="D245" s="17">
        <f xml:space="preserve"> C245 / (24 * 'VRP Solver Console'!C10)</f>
        <v>2.2050578969265603E-2</v>
      </c>
    </row>
    <row r="246" spans="1:4" x14ac:dyDescent="0.3">
      <c r="A246" s="16" t="s">
        <v>66</v>
      </c>
      <c r="B246" s="16" t="s">
        <v>58</v>
      </c>
      <c r="C246" s="45">
        <v>93.826701956319454</v>
      </c>
      <c r="D246" s="18">
        <f xml:space="preserve"> C246 / (24 * 'VRP Solver Console'!C10)</f>
        <v>5.5849227354952055E-2</v>
      </c>
    </row>
    <row r="247" spans="1:4" x14ac:dyDescent="0.3">
      <c r="A247" s="16" t="s">
        <v>66</v>
      </c>
      <c r="B247" s="16" t="s">
        <v>59</v>
      </c>
      <c r="C247" s="44">
        <v>45.640004382120736</v>
      </c>
      <c r="D247" s="17">
        <f xml:space="preserve"> C247 / (24 * 'VRP Solver Console'!C10)</f>
        <v>2.7166669275071866E-2</v>
      </c>
    </row>
    <row r="248" spans="1:4" x14ac:dyDescent="0.3">
      <c r="A248" s="16" t="s">
        <v>66</v>
      </c>
      <c r="B248" s="16" t="s">
        <v>60</v>
      </c>
      <c r="C248" s="45">
        <v>63.144675151591358</v>
      </c>
      <c r="D248" s="18">
        <f xml:space="preserve"> C248 / (24 * 'VRP Solver Console'!C10)</f>
        <v>3.758611616166152E-2</v>
      </c>
    </row>
    <row r="249" spans="1:4" x14ac:dyDescent="0.3">
      <c r="A249" s="16" t="s">
        <v>66</v>
      </c>
      <c r="B249" s="16" t="s">
        <v>61</v>
      </c>
      <c r="C249" s="44">
        <v>86.499132943631281</v>
      </c>
      <c r="D249" s="17">
        <f xml:space="preserve"> C249 / (24 * 'VRP Solver Console'!C10)</f>
        <v>5.1487579133113859E-2</v>
      </c>
    </row>
    <row r="250" spans="1:4" x14ac:dyDescent="0.3">
      <c r="A250" s="16" t="s">
        <v>66</v>
      </c>
      <c r="B250" s="16" t="s">
        <v>62</v>
      </c>
      <c r="C250" s="45">
        <v>3.5</v>
      </c>
      <c r="D250" s="18">
        <f xml:space="preserve"> C250 / (24 * 'VRP Solver Console'!C10)</f>
        <v>2.0833333333333333E-3</v>
      </c>
    </row>
    <row r="251" spans="1:4" x14ac:dyDescent="0.3">
      <c r="A251" s="16" t="s">
        <v>66</v>
      </c>
      <c r="B251" s="16" t="s">
        <v>63</v>
      </c>
      <c r="C251" s="44">
        <v>57.277046013215447</v>
      </c>
      <c r="D251" s="17">
        <f xml:space="preserve"> C251 / (24 * 'VRP Solver Console'!C10)</f>
        <v>3.4093479769771097E-2</v>
      </c>
    </row>
    <row r="252" spans="1:4" x14ac:dyDescent="0.3">
      <c r="A252" s="16" t="s">
        <v>66</v>
      </c>
      <c r="B252" s="16" t="s">
        <v>64</v>
      </c>
      <c r="C252" s="45">
        <v>37.50466637633243</v>
      </c>
      <c r="D252" s="18">
        <f xml:space="preserve"> C252 / (24 * 'VRP Solver Console'!C10)</f>
        <v>2.2324206176388351E-2</v>
      </c>
    </row>
    <row r="253" spans="1:4" x14ac:dyDescent="0.3">
      <c r="A253" s="16" t="s">
        <v>66</v>
      </c>
      <c r="B253" s="16" t="s">
        <v>65</v>
      </c>
      <c r="C253" s="44">
        <v>115.83544362586092</v>
      </c>
      <c r="D253" s="17">
        <f xml:space="preserve"> C253 / (24 * 'VRP Solver Console'!C10)</f>
        <v>6.894966882491721E-2</v>
      </c>
    </row>
    <row r="254" spans="1:4" x14ac:dyDescent="0.3">
      <c r="A254" s="16" t="s">
        <v>66</v>
      </c>
      <c r="B254" s="16" t="s">
        <v>66</v>
      </c>
      <c r="C254" s="45">
        <v>0</v>
      </c>
      <c r="D254" s="18">
        <v>0</v>
      </c>
    </row>
    <row r="255" spans="1:4" x14ac:dyDescent="0.3">
      <c r="A255" s="16" t="s">
        <v>66</v>
      </c>
      <c r="B255" s="16" t="s">
        <v>67</v>
      </c>
      <c r="C255" s="44">
        <v>17.791008965204863</v>
      </c>
      <c r="D255" s="17">
        <f xml:space="preserve"> C255 / (24 * 'VRP Solver Console'!C10)</f>
        <v>1.0589886288812418E-2</v>
      </c>
    </row>
    <row r="256" spans="1:4" x14ac:dyDescent="0.3">
      <c r="A256" s="16" t="s">
        <v>66</v>
      </c>
      <c r="B256" s="16" t="s">
        <v>68</v>
      </c>
      <c r="C256" s="45">
        <v>49.893486548847235</v>
      </c>
      <c r="D256" s="18">
        <f xml:space="preserve"> C256 / (24 * 'VRP Solver Console'!C10)</f>
        <v>2.9698503898123355E-2</v>
      </c>
    </row>
    <row r="257" spans="1:4" x14ac:dyDescent="0.3">
      <c r="A257" s="16" t="s">
        <v>66</v>
      </c>
      <c r="B257" s="16" t="s">
        <v>69</v>
      </c>
      <c r="C257" s="44">
        <v>65.478546104812068</v>
      </c>
      <c r="D257" s="17">
        <f xml:space="preserve"> C257 / (24 * 'VRP Solver Console'!C10)</f>
        <v>3.8975325062388134E-2</v>
      </c>
    </row>
    <row r="258" spans="1:4" x14ac:dyDescent="0.3">
      <c r="A258" s="16" t="s">
        <v>66</v>
      </c>
      <c r="B258" s="16" t="s">
        <v>70</v>
      </c>
      <c r="C258" s="45">
        <v>45.979125698516711</v>
      </c>
      <c r="D258" s="18">
        <f xml:space="preserve"> C258 / (24 * 'VRP Solver Console'!C10)</f>
        <v>2.7368527201498041E-2</v>
      </c>
    </row>
    <row r="259" spans="1:4" x14ac:dyDescent="0.3">
      <c r="A259" s="16" t="s">
        <v>66</v>
      </c>
      <c r="B259" s="16" t="s">
        <v>71</v>
      </c>
      <c r="C259" s="44">
        <v>22.098868749327423</v>
      </c>
      <c r="D259" s="17">
        <f xml:space="preserve"> C259 / (24 * 'VRP Solver Console'!C10)</f>
        <v>1.3154088541266323E-2</v>
      </c>
    </row>
    <row r="260" spans="1:4" x14ac:dyDescent="0.3">
      <c r="A260" s="16" t="s">
        <v>66</v>
      </c>
      <c r="B260" s="16" t="s">
        <v>72</v>
      </c>
      <c r="C260" s="45">
        <v>90.312180795283652</v>
      </c>
      <c r="D260" s="18">
        <f xml:space="preserve"> C260 / (24 * 'VRP Solver Console'!C10)</f>
        <v>5.3757250473383124E-2</v>
      </c>
    </row>
    <row r="261" spans="1:4" x14ac:dyDescent="0.3">
      <c r="A261" s="16" t="s">
        <v>66</v>
      </c>
      <c r="B261" s="16" t="s">
        <v>73</v>
      </c>
      <c r="C261" s="44">
        <v>109.20531122614872</v>
      </c>
      <c r="D261" s="17">
        <f xml:space="preserve"> C261 / (24 * 'VRP Solver Console'!C10)</f>
        <v>6.5003161444136148E-2</v>
      </c>
    </row>
    <row r="262" spans="1:4" x14ac:dyDescent="0.3">
      <c r="A262" s="16" t="s">
        <v>67</v>
      </c>
      <c r="B262" s="16" t="s">
        <v>52</v>
      </c>
      <c r="C262" s="45">
        <v>48.54080757465826</v>
      </c>
      <c r="D262" s="18">
        <f xml:space="preserve"> C262 / (24 * 'VRP Solver Console'!C10)</f>
        <v>2.8893337842058487E-2</v>
      </c>
    </row>
    <row r="263" spans="1:4" x14ac:dyDescent="0.3">
      <c r="A263" s="16" t="s">
        <v>67</v>
      </c>
      <c r="B263" s="16" t="s">
        <v>54</v>
      </c>
      <c r="C263" s="44">
        <v>51.00245092149985</v>
      </c>
      <c r="D263" s="17">
        <f xml:space="preserve"> C263 / (24 * 'VRP Solver Console'!C10)</f>
        <v>3.0358601738988005E-2</v>
      </c>
    </row>
    <row r="264" spans="1:4" x14ac:dyDescent="0.3">
      <c r="A264" s="16" t="s">
        <v>67</v>
      </c>
      <c r="B264" s="16" t="s">
        <v>56</v>
      </c>
      <c r="C264" s="45">
        <v>77.996217857021776</v>
      </c>
      <c r="D264" s="18">
        <f xml:space="preserve"> C264 / (24 * 'VRP Solver Console'!C10)</f>
        <v>4.6426320152989149E-2</v>
      </c>
    </row>
    <row r="265" spans="1:4" x14ac:dyDescent="0.3">
      <c r="A265" s="16" t="s">
        <v>67</v>
      </c>
      <c r="B265" s="16" t="s">
        <v>57</v>
      </c>
      <c r="C265" s="44">
        <v>19.946177578674067</v>
      </c>
      <c r="D265" s="17">
        <f xml:space="preserve"> C265 / (24 * 'VRP Solver Console'!C10)</f>
        <v>1.1872724749210754E-2</v>
      </c>
    </row>
    <row r="266" spans="1:4" x14ac:dyDescent="0.3">
      <c r="A266" s="16" t="s">
        <v>67</v>
      </c>
      <c r="B266" s="16" t="s">
        <v>58</v>
      </c>
      <c r="C266" s="45">
        <v>78.303575908128238</v>
      </c>
      <c r="D266" s="18">
        <f xml:space="preserve"> C266 / (24 * 'VRP Solver Console'!C10)</f>
        <v>4.6609271373885854E-2</v>
      </c>
    </row>
    <row r="267" spans="1:4" x14ac:dyDescent="0.3">
      <c r="A267" s="16" t="s">
        <v>67</v>
      </c>
      <c r="B267" s="16" t="s">
        <v>59</v>
      </c>
      <c r="C267" s="44">
        <v>29.127478435319464</v>
      </c>
      <c r="D267" s="17">
        <f xml:space="preserve"> C267 / (24 * 'VRP Solver Console'!C10)</f>
        <v>1.7337784782928252E-2</v>
      </c>
    </row>
    <row r="268" spans="1:4" x14ac:dyDescent="0.3">
      <c r="A268" s="16" t="s">
        <v>67</v>
      </c>
      <c r="B268" s="16" t="s">
        <v>60</v>
      </c>
      <c r="C268" s="45">
        <v>61.794579050269448</v>
      </c>
      <c r="D268" s="18">
        <f xml:space="preserve"> C268 / (24 * 'VRP Solver Console'!C10)</f>
        <v>3.6782487529922289E-2</v>
      </c>
    </row>
    <row r="269" spans="1:4" x14ac:dyDescent="0.3">
      <c r="A269" s="16" t="s">
        <v>67</v>
      </c>
      <c r="B269" s="16" t="s">
        <v>61</v>
      </c>
      <c r="C269" s="44">
        <v>68.736744176604702</v>
      </c>
      <c r="D269" s="17">
        <f xml:space="preserve"> C269 / (24 * 'VRP Solver Console'!C10)</f>
        <v>4.0914728676550417E-2</v>
      </c>
    </row>
    <row r="270" spans="1:4" x14ac:dyDescent="0.3">
      <c r="A270" s="16" t="s">
        <v>67</v>
      </c>
      <c r="B270" s="16" t="s">
        <v>62</v>
      </c>
      <c r="C270" s="45">
        <v>14.33771250932309</v>
      </c>
      <c r="D270" s="18">
        <f xml:space="preserve"> C270 / (24 * 'VRP Solver Console'!C10)</f>
        <v>8.5343526841208869E-3</v>
      </c>
    </row>
    <row r="271" spans="1:4" x14ac:dyDescent="0.3">
      <c r="A271" s="16" t="s">
        <v>67</v>
      </c>
      <c r="B271" s="16" t="s">
        <v>63</v>
      </c>
      <c r="C271" s="44">
        <v>43.223373306580321</v>
      </c>
      <c r="D271" s="17">
        <f xml:space="preserve"> C271 / (24 * 'VRP Solver Console'!C10)</f>
        <v>2.5728198396774E-2</v>
      </c>
    </row>
    <row r="272" spans="1:4" x14ac:dyDescent="0.3">
      <c r="A272" s="16" t="s">
        <v>67</v>
      </c>
      <c r="B272" s="16" t="s">
        <v>64</v>
      </c>
      <c r="C272" s="45">
        <v>20.21484602958925</v>
      </c>
      <c r="D272" s="18">
        <f xml:space="preserve"> C272 / (24 * 'VRP Solver Console'!C10)</f>
        <v>1.2032646446184077E-2</v>
      </c>
    </row>
    <row r="273" spans="1:4" x14ac:dyDescent="0.3">
      <c r="A273" s="16" t="s">
        <v>67</v>
      </c>
      <c r="B273" s="16" t="s">
        <v>65</v>
      </c>
      <c r="C273" s="44">
        <v>104.77981675876323</v>
      </c>
      <c r="D273" s="17">
        <f xml:space="preserve"> C273 / (24 * 'VRP Solver Console'!C10)</f>
        <v>6.2368938546882878E-2</v>
      </c>
    </row>
    <row r="274" spans="1:4" x14ac:dyDescent="0.3">
      <c r="A274" s="16" t="s">
        <v>67</v>
      </c>
      <c r="B274" s="16" t="s">
        <v>66</v>
      </c>
      <c r="C274" s="45">
        <v>17.791008965204863</v>
      </c>
      <c r="D274" s="18">
        <f xml:space="preserve"> C274 / (24 * 'VRP Solver Console'!C10)</f>
        <v>1.0589886288812418E-2</v>
      </c>
    </row>
    <row r="275" spans="1:4" x14ac:dyDescent="0.3">
      <c r="A275" s="16" t="s">
        <v>67</v>
      </c>
      <c r="B275" s="16" t="s">
        <v>67</v>
      </c>
      <c r="C275" s="44">
        <v>0</v>
      </c>
      <c r="D275" s="17">
        <v>0</v>
      </c>
    </row>
    <row r="276" spans="1:4" x14ac:dyDescent="0.3">
      <c r="A276" s="16" t="s">
        <v>67</v>
      </c>
      <c r="B276" s="16" t="s">
        <v>68</v>
      </c>
      <c r="C276" s="45">
        <v>33.614877658560658</v>
      </c>
      <c r="D276" s="18">
        <f xml:space="preserve"> C276 / (24 * 'VRP Solver Console'!C10)</f>
        <v>2.000885574914325E-2</v>
      </c>
    </row>
    <row r="277" spans="1:4" x14ac:dyDescent="0.3">
      <c r="A277" s="16" t="s">
        <v>67</v>
      </c>
      <c r="B277" s="16" t="s">
        <v>69</v>
      </c>
      <c r="C277" s="44">
        <v>50.798818883907138</v>
      </c>
      <c r="D277" s="17">
        <f xml:space="preserve"> C277 / (24 * 'VRP Solver Console'!C10)</f>
        <v>3.0237392192801867E-2</v>
      </c>
    </row>
    <row r="278" spans="1:4" x14ac:dyDescent="0.3">
      <c r="A278" s="16" t="s">
        <v>67</v>
      </c>
      <c r="B278" s="16" t="s">
        <v>70</v>
      </c>
      <c r="C278" s="45">
        <v>43.549052802558172</v>
      </c>
      <c r="D278" s="18">
        <f xml:space="preserve"> C278 / (24 * 'VRP Solver Console'!C10)</f>
        <v>2.592205523961796E-2</v>
      </c>
    </row>
    <row r="279" spans="1:4" x14ac:dyDescent="0.3">
      <c r="A279" s="16" t="s">
        <v>67</v>
      </c>
      <c r="B279" s="16" t="s">
        <v>71</v>
      </c>
      <c r="C279" s="44">
        <v>24.041630560342615</v>
      </c>
      <c r="D279" s="17">
        <f xml:space="preserve"> C279 / (24 * 'VRP Solver Console'!C10)</f>
        <v>1.4310494381156318E-2</v>
      </c>
    </row>
    <row r="280" spans="1:4" x14ac:dyDescent="0.3">
      <c r="A280" s="16" t="s">
        <v>67</v>
      </c>
      <c r="B280" s="16" t="s">
        <v>72</v>
      </c>
      <c r="C280" s="45">
        <v>72.62485800330353</v>
      </c>
      <c r="D280" s="18">
        <f xml:space="preserve"> C280 / (24 * 'VRP Solver Console'!C10)</f>
        <v>4.322908214482353E-2</v>
      </c>
    </row>
    <row r="281" spans="1:4" x14ac:dyDescent="0.3">
      <c r="A281" s="16" t="s">
        <v>67</v>
      </c>
      <c r="B281" s="16" t="s">
        <v>73</v>
      </c>
      <c r="C281" s="44">
        <v>98.77044092237314</v>
      </c>
      <c r="D281" s="17">
        <f xml:space="preserve"> C281 / (24 * 'VRP Solver Console'!C10)</f>
        <v>5.8791929120460204E-2</v>
      </c>
    </row>
    <row r="282" spans="1:4" x14ac:dyDescent="0.3">
      <c r="A282" s="16" t="s">
        <v>68</v>
      </c>
      <c r="B282" s="16" t="s">
        <v>52</v>
      </c>
      <c r="C282" s="45">
        <v>27.115493725912497</v>
      </c>
      <c r="D282" s="18">
        <f xml:space="preserve"> C282 / (24 * 'VRP Solver Console'!C10)</f>
        <v>1.6140174836852678E-2</v>
      </c>
    </row>
    <row r="283" spans="1:4" x14ac:dyDescent="0.3">
      <c r="A283" s="16" t="s">
        <v>68</v>
      </c>
      <c r="B283" s="16" t="s">
        <v>54</v>
      </c>
      <c r="C283" s="44">
        <v>23.246720198772127</v>
      </c>
      <c r="D283" s="17">
        <f xml:space="preserve"> C283 / (24 * 'VRP Solver Console'!C10)</f>
        <v>1.3837333451650075E-2</v>
      </c>
    </row>
    <row r="284" spans="1:4" x14ac:dyDescent="0.3">
      <c r="A284" s="16" t="s">
        <v>68</v>
      </c>
      <c r="B284" s="16" t="s">
        <v>56</v>
      </c>
      <c r="C284" s="45">
        <v>54.541452125883119</v>
      </c>
      <c r="D284" s="18">
        <f xml:space="preserve"> C284 / (24 * 'VRP Solver Console'!C10)</f>
        <v>3.2465150074930428E-2</v>
      </c>
    </row>
    <row r="285" spans="1:4" x14ac:dyDescent="0.3">
      <c r="A285" s="16" t="s">
        <v>68</v>
      </c>
      <c r="B285" s="16" t="s">
        <v>57</v>
      </c>
      <c r="C285" s="44">
        <v>26.268802789621002</v>
      </c>
      <c r="D285" s="17">
        <f xml:space="preserve"> C285 / (24 * 'VRP Solver Console'!C10)</f>
        <v>1.5636192136679168E-2</v>
      </c>
    </row>
    <row r="286" spans="1:4" x14ac:dyDescent="0.3">
      <c r="A286" s="16" t="s">
        <v>68</v>
      </c>
      <c r="B286" s="16" t="s">
        <v>58</v>
      </c>
      <c r="C286" s="45">
        <v>44.767510540569489</v>
      </c>
      <c r="D286" s="18">
        <f xml:space="preserve"> C286 / (24 * 'VRP Solver Console'!C10)</f>
        <v>2.6647327702719933E-2</v>
      </c>
    </row>
    <row r="287" spans="1:4" x14ac:dyDescent="0.3">
      <c r="A287" s="16" t="s">
        <v>68</v>
      </c>
      <c r="B287" s="16" t="s">
        <v>59</v>
      </c>
      <c r="C287" s="44">
        <v>4.5793012567421227</v>
      </c>
      <c r="D287" s="17">
        <f xml:space="preserve"> C287 / (24 * 'VRP Solver Console'!C10)</f>
        <v>2.7257745575845968E-3</v>
      </c>
    </row>
    <row r="288" spans="1:4" x14ac:dyDescent="0.3">
      <c r="A288" s="16" t="s">
        <v>68</v>
      </c>
      <c r="B288" s="16" t="s">
        <v>60</v>
      </c>
      <c r="C288" s="45">
        <v>56.23530919271272</v>
      </c>
      <c r="D288" s="18">
        <f xml:space="preserve"> C288 / (24 * 'VRP Solver Console'!C10)</f>
        <v>3.3473398328995665E-2</v>
      </c>
    </row>
    <row r="289" spans="1:4" x14ac:dyDescent="0.3">
      <c r="A289" s="16" t="s">
        <v>68</v>
      </c>
      <c r="B289" s="16" t="s">
        <v>61</v>
      </c>
      <c r="C289" s="44">
        <v>41.105960638330785</v>
      </c>
      <c r="D289" s="17">
        <f xml:space="preserve"> C289 / (24 * 'VRP Solver Console'!C10)</f>
        <v>2.4467833713292135E-2</v>
      </c>
    </row>
    <row r="290" spans="1:4" x14ac:dyDescent="0.3">
      <c r="A290" s="16" t="s">
        <v>68</v>
      </c>
      <c r="B290" s="16" t="s">
        <v>62</v>
      </c>
      <c r="C290" s="45">
        <v>46.460843728886374</v>
      </c>
      <c r="D290" s="18">
        <f xml:space="preserve"> C290 / (24 * 'VRP Solver Console'!C10)</f>
        <v>2.7655264124337126E-2</v>
      </c>
    </row>
    <row r="291" spans="1:4" x14ac:dyDescent="0.3">
      <c r="A291" s="16" t="s">
        <v>68</v>
      </c>
      <c r="B291" s="16" t="s">
        <v>63</v>
      </c>
      <c r="C291" s="44">
        <v>13.946325680981353</v>
      </c>
      <c r="D291" s="17">
        <f xml:space="preserve"> C291 / (24 * 'VRP Solver Console'!C10)</f>
        <v>8.301384333917472E-3</v>
      </c>
    </row>
    <row r="292" spans="1:4" x14ac:dyDescent="0.3">
      <c r="A292" s="16" t="s">
        <v>68</v>
      </c>
      <c r="B292" s="16" t="s">
        <v>64</v>
      </c>
      <c r="C292" s="45">
        <v>25.079872407968907</v>
      </c>
      <c r="D292" s="18">
        <f xml:space="preserve"> C292 / (24 * 'VRP Solver Console'!C10)</f>
        <v>1.4928495480933873E-2</v>
      </c>
    </row>
    <row r="293" spans="1:4" x14ac:dyDescent="0.3">
      <c r="A293" s="16" t="s">
        <v>68</v>
      </c>
      <c r="B293" s="16" t="s">
        <v>65</v>
      </c>
      <c r="C293" s="44">
        <v>76.001907870789665</v>
      </c>
      <c r="D293" s="17">
        <f xml:space="preserve"> C293 / (24 * 'VRP Solver Console'!C10)</f>
        <v>4.5239230875470042E-2</v>
      </c>
    </row>
    <row r="294" spans="1:4" x14ac:dyDescent="0.3">
      <c r="A294" s="16" t="s">
        <v>68</v>
      </c>
      <c r="B294" s="16" t="s">
        <v>66</v>
      </c>
      <c r="C294" s="45">
        <v>49.893486548847235</v>
      </c>
      <c r="D294" s="18">
        <f xml:space="preserve"> C294 / (24 * 'VRP Solver Console'!C10)</f>
        <v>2.9698503898123355E-2</v>
      </c>
    </row>
    <row r="295" spans="1:4" x14ac:dyDescent="0.3">
      <c r="A295" s="16" t="s">
        <v>68</v>
      </c>
      <c r="B295" s="16" t="s">
        <v>67</v>
      </c>
      <c r="C295" s="44">
        <v>33.614877658560658</v>
      </c>
      <c r="D295" s="17">
        <f xml:space="preserve"> C295 / (24 * 'VRP Solver Console'!C10)</f>
        <v>2.000885574914325E-2</v>
      </c>
    </row>
    <row r="296" spans="1:4" x14ac:dyDescent="0.3">
      <c r="A296" s="16" t="s">
        <v>68</v>
      </c>
      <c r="B296" s="16" t="s">
        <v>68</v>
      </c>
      <c r="C296" s="45">
        <v>0</v>
      </c>
      <c r="D296" s="18">
        <v>0</v>
      </c>
    </row>
    <row r="297" spans="1:4" x14ac:dyDescent="0.3">
      <c r="A297" s="16" t="s">
        <v>68</v>
      </c>
      <c r="B297" s="16" t="s">
        <v>69</v>
      </c>
      <c r="C297" s="44">
        <v>18.744599222175971</v>
      </c>
      <c r="D297" s="17">
        <f xml:space="preserve"> C297 / (24 * 'VRP Solver Console'!C10)</f>
        <v>1.1157499537009506E-2</v>
      </c>
    </row>
    <row r="298" spans="1:4" x14ac:dyDescent="0.3">
      <c r="A298" s="16" t="s">
        <v>68</v>
      </c>
      <c r="B298" s="16" t="s">
        <v>70</v>
      </c>
      <c r="C298" s="45">
        <v>41.938049549305461</v>
      </c>
      <c r="D298" s="18">
        <f xml:space="preserve"> C298 / (24 * 'VRP Solver Console'!C10)</f>
        <v>2.4963124731729441E-2</v>
      </c>
    </row>
    <row r="299" spans="1:4" x14ac:dyDescent="0.3">
      <c r="A299" s="16" t="s">
        <v>68</v>
      </c>
      <c r="B299" s="16" t="s">
        <v>71</v>
      </c>
      <c r="C299" s="44">
        <v>40.994145923534006</v>
      </c>
      <c r="D299" s="17">
        <f xml:space="preserve"> C299 / (24 * 'VRP Solver Console'!C10)</f>
        <v>2.440127733543691E-2</v>
      </c>
    </row>
    <row r="300" spans="1:4" x14ac:dyDescent="0.3">
      <c r="A300" s="16" t="s">
        <v>68</v>
      </c>
      <c r="B300" s="16" t="s">
        <v>72</v>
      </c>
      <c r="C300" s="45">
        <v>43.481605306152169</v>
      </c>
      <c r="D300" s="18">
        <f xml:space="preserve"> C300 / (24 * 'VRP Solver Console'!C10)</f>
        <v>2.588190792032867E-2</v>
      </c>
    </row>
    <row r="301" spans="1:4" x14ac:dyDescent="0.3">
      <c r="A301" s="16" t="s">
        <v>68</v>
      </c>
      <c r="B301" s="16" t="s">
        <v>73</v>
      </c>
      <c r="C301" s="44">
        <v>71.19915729838381</v>
      </c>
      <c r="D301" s="17">
        <f xml:space="preserve"> C301 / (24 * 'VRP Solver Console'!C10)</f>
        <v>4.2380450772847508E-2</v>
      </c>
    </row>
    <row r="302" spans="1:4" x14ac:dyDescent="0.3">
      <c r="A302" s="16" t="s">
        <v>69</v>
      </c>
      <c r="B302" s="16" t="s">
        <v>52</v>
      </c>
      <c r="C302" s="45">
        <v>19.20963300013824</v>
      </c>
      <c r="D302" s="18">
        <f xml:space="preserve"> C302 / (24 * 'VRP Solver Console'!C10)</f>
        <v>1.1434305357225142E-2</v>
      </c>
    </row>
    <row r="303" spans="1:4" x14ac:dyDescent="0.3">
      <c r="A303" s="16" t="s">
        <v>69</v>
      </c>
      <c r="B303" s="16" t="s">
        <v>54</v>
      </c>
      <c r="C303" s="44">
        <v>27.952996261581688</v>
      </c>
      <c r="D303" s="17">
        <f xml:space="preserve"> C303 / (24 * 'VRP Solver Console'!C10)</f>
        <v>1.6638688250941482E-2</v>
      </c>
    </row>
    <row r="304" spans="1:4" x14ac:dyDescent="0.3">
      <c r="A304" s="16" t="s">
        <v>69</v>
      </c>
      <c r="B304" s="16" t="s">
        <v>56</v>
      </c>
      <c r="C304" s="45">
        <v>39.0103832331855</v>
      </c>
      <c r="D304" s="18">
        <f xml:space="preserve"> C304 / (24 * 'VRP Solver Console'!C10)</f>
        <v>2.3220466210229464E-2</v>
      </c>
    </row>
    <row r="305" spans="1:4" x14ac:dyDescent="0.3">
      <c r="A305" s="16" t="s">
        <v>69</v>
      </c>
      <c r="B305" s="16" t="s">
        <v>57</v>
      </c>
      <c r="C305" s="44">
        <v>44.929834186206385</v>
      </c>
      <c r="D305" s="17">
        <f xml:space="preserve"> C305 / (24 * 'VRP Solver Console'!C10)</f>
        <v>2.6743948920360944E-2</v>
      </c>
    </row>
    <row r="306" spans="1:4" x14ac:dyDescent="0.3">
      <c r="A306" s="16" t="s">
        <v>69</v>
      </c>
      <c r="B306" s="16" t="s">
        <v>58</v>
      </c>
      <c r="C306" s="45">
        <v>28.693727537564722</v>
      </c>
      <c r="D306" s="18">
        <f xml:space="preserve"> C306 / (24 * 'VRP Solver Console'!C10)</f>
        <v>1.7079599724740907E-2</v>
      </c>
    </row>
    <row r="307" spans="1:4" x14ac:dyDescent="0.3">
      <c r="A307" s="16" t="s">
        <v>69</v>
      </c>
      <c r="B307" s="16" t="s">
        <v>59</v>
      </c>
      <c r="C307" s="44">
        <v>23.131147831441478</v>
      </c>
      <c r="D307" s="17">
        <f xml:space="preserve"> C307 / (24 * 'VRP Solver Console'!C10)</f>
        <v>1.3768540375858023E-2</v>
      </c>
    </row>
    <row r="308" spans="1:4" x14ac:dyDescent="0.3">
      <c r="A308" s="16" t="s">
        <v>69</v>
      </c>
      <c r="B308" s="16" t="s">
        <v>60</v>
      </c>
      <c r="C308" s="45">
        <v>52.165985086069256</v>
      </c>
      <c r="D308" s="18">
        <f xml:space="preserve"> C308 / (24 * 'VRP Solver Console'!C10)</f>
        <v>3.1051181598850747E-2</v>
      </c>
    </row>
    <row r="309" spans="1:4" x14ac:dyDescent="0.3">
      <c r="A309" s="16" t="s">
        <v>69</v>
      </c>
      <c r="B309" s="16" t="s">
        <v>61</v>
      </c>
      <c r="C309" s="44">
        <v>40.748251496229869</v>
      </c>
      <c r="D309" s="17">
        <f xml:space="preserve"> C309 / (24 * 'VRP Solver Console'!C10)</f>
        <v>2.4254911604898732E-2</v>
      </c>
    </row>
    <row r="310" spans="1:4" x14ac:dyDescent="0.3">
      <c r="A310" s="16" t="s">
        <v>69</v>
      </c>
      <c r="B310" s="16" t="s">
        <v>62</v>
      </c>
      <c r="C310" s="45">
        <v>62.230940857422361</v>
      </c>
      <c r="D310" s="18">
        <f xml:space="preserve"> C310 / (24 * 'VRP Solver Console'!C10)</f>
        <v>3.7042226700846642E-2</v>
      </c>
    </row>
    <row r="311" spans="1:4" x14ac:dyDescent="0.3">
      <c r="A311" s="16" t="s">
        <v>69</v>
      </c>
      <c r="B311" s="16" t="s">
        <v>63</v>
      </c>
      <c r="C311" s="44">
        <v>8.5475142585432398</v>
      </c>
      <c r="D311" s="17">
        <f xml:space="preserve"> C311 / (24 * 'VRP Solver Console'!C10)</f>
        <v>5.0878061062757376E-3</v>
      </c>
    </row>
    <row r="312" spans="1:4" x14ac:dyDescent="0.3">
      <c r="A312" s="16" t="s">
        <v>69</v>
      </c>
      <c r="B312" s="16" t="s">
        <v>64</v>
      </c>
      <c r="C312" s="45">
        <v>43.732367875522129</v>
      </c>
      <c r="D312" s="18">
        <f xml:space="preserve"> C312 / (24 * 'VRP Solver Console'!C10)</f>
        <v>2.6031171354477457E-2</v>
      </c>
    </row>
    <row r="313" spans="1:4" x14ac:dyDescent="0.3">
      <c r="A313" s="16" t="s">
        <v>69</v>
      </c>
      <c r="B313" s="16" t="s">
        <v>65</v>
      </c>
      <c r="C313" s="44">
        <v>57.491303690210401</v>
      </c>
      <c r="D313" s="17">
        <f xml:space="preserve"> C313 / (24 * 'VRP Solver Console'!C10)</f>
        <v>3.4221014101315714E-2</v>
      </c>
    </row>
    <row r="314" spans="1:4" x14ac:dyDescent="0.3">
      <c r="A314" s="16" t="s">
        <v>69</v>
      </c>
      <c r="B314" s="16" t="s">
        <v>66</v>
      </c>
      <c r="C314" s="45">
        <v>65.478546104812068</v>
      </c>
      <c r="D314" s="18">
        <f xml:space="preserve"> C314 / (24 * 'VRP Solver Console'!C10)</f>
        <v>3.8975325062388134E-2</v>
      </c>
    </row>
    <row r="315" spans="1:4" x14ac:dyDescent="0.3">
      <c r="A315" s="16" t="s">
        <v>69</v>
      </c>
      <c r="B315" s="16" t="s">
        <v>67</v>
      </c>
      <c r="C315" s="44">
        <v>50.798818883907138</v>
      </c>
      <c r="D315" s="17">
        <f xml:space="preserve"> C315 / (24 * 'VRP Solver Console'!C10)</f>
        <v>3.0237392192801867E-2</v>
      </c>
    </row>
    <row r="316" spans="1:4" x14ac:dyDescent="0.3">
      <c r="A316" s="16" t="s">
        <v>69</v>
      </c>
      <c r="B316" s="16" t="s">
        <v>68</v>
      </c>
      <c r="C316" s="45">
        <v>18.744599222175971</v>
      </c>
      <c r="D316" s="18">
        <f xml:space="preserve"> C316 / (24 * 'VRP Solver Console'!C10)</f>
        <v>1.1157499537009506E-2</v>
      </c>
    </row>
    <row r="317" spans="1:4" x14ac:dyDescent="0.3">
      <c r="A317" s="16" t="s">
        <v>69</v>
      </c>
      <c r="B317" s="16" t="s">
        <v>69</v>
      </c>
      <c r="C317" s="44">
        <v>0</v>
      </c>
      <c r="D317" s="17">
        <v>0</v>
      </c>
    </row>
    <row r="318" spans="1:4" x14ac:dyDescent="0.3">
      <c r="A318" s="16" t="s">
        <v>69</v>
      </c>
      <c r="B318" s="16" t="s">
        <v>70</v>
      </c>
      <c r="C318" s="45">
        <v>43.278632141046231</v>
      </c>
      <c r="D318" s="18">
        <f xml:space="preserve"> C318 / (24 * 'VRP Solver Console'!C10)</f>
        <v>2.5761090560146565E-2</v>
      </c>
    </row>
    <row r="319" spans="1:4" x14ac:dyDescent="0.3">
      <c r="A319" s="16" t="s">
        <v>69</v>
      </c>
      <c r="B319" s="16" t="s">
        <v>71</v>
      </c>
      <c r="C319" s="44">
        <v>51.739733281106112</v>
      </c>
      <c r="D319" s="17">
        <f xml:space="preserve"> C319 / (24 * 'VRP Solver Console'!C10)</f>
        <v>3.0797460286372685E-2</v>
      </c>
    </row>
    <row r="320" spans="1:4" x14ac:dyDescent="0.3">
      <c r="A320" s="16" t="s">
        <v>69</v>
      </c>
      <c r="B320" s="16" t="s">
        <v>72</v>
      </c>
      <c r="C320" s="45">
        <v>40.66362010446192</v>
      </c>
      <c r="D320" s="18">
        <f xml:space="preserve"> C320 / (24 * 'VRP Solver Console'!C10)</f>
        <v>2.4204535776465429E-2</v>
      </c>
    </row>
    <row r="321" spans="1:4" x14ac:dyDescent="0.3">
      <c r="A321" s="16" t="s">
        <v>69</v>
      </c>
      <c r="B321" s="16" t="s">
        <v>73</v>
      </c>
      <c r="C321" s="44">
        <v>53.076925306577444</v>
      </c>
      <c r="D321" s="17">
        <f xml:space="preserve"> C321 / (24 * 'VRP Solver Console'!C10)</f>
        <v>3.1593407920581809E-2</v>
      </c>
    </row>
    <row r="322" spans="1:4" x14ac:dyDescent="0.3">
      <c r="A322" s="16" t="s">
        <v>70</v>
      </c>
      <c r="B322" s="16" t="s">
        <v>52</v>
      </c>
      <c r="C322" s="45">
        <v>25.679758565843251</v>
      </c>
      <c r="D322" s="18">
        <f xml:space="preserve"> C322 / (24 * 'VRP Solver Console'!C10)</f>
        <v>1.5285570574906697E-2</v>
      </c>
    </row>
    <row r="323" spans="1:4" x14ac:dyDescent="0.3">
      <c r="A323" s="16" t="s">
        <v>70</v>
      </c>
      <c r="B323" s="16" t="s">
        <v>54</v>
      </c>
      <c r="C323" s="44">
        <v>64.606269045658408</v>
      </c>
      <c r="D323" s="17">
        <f xml:space="preserve"> C323 / (24 * 'VRP Solver Console'!C10)</f>
        <v>3.8456112527177622E-2</v>
      </c>
    </row>
    <row r="324" spans="1:4" x14ac:dyDescent="0.3">
      <c r="A324" s="16" t="s">
        <v>70</v>
      </c>
      <c r="B324" s="16" t="s">
        <v>56</v>
      </c>
      <c r="C324" s="45">
        <v>44.690155515504756</v>
      </c>
      <c r="D324" s="18">
        <f xml:space="preserve"> C324 / (24 * 'VRP Solver Console'!C10)</f>
        <v>2.6601283044943306E-2</v>
      </c>
    </row>
    <row r="325" spans="1:4" x14ac:dyDescent="0.3">
      <c r="A325" s="16" t="s">
        <v>70</v>
      </c>
      <c r="B325" s="16" t="s">
        <v>57</v>
      </c>
      <c r="C325" s="44">
        <v>55.20153983359522</v>
      </c>
      <c r="D325" s="17">
        <f xml:space="preserve"> C325 / (24 * 'VRP Solver Console'!C10)</f>
        <v>3.2858059424759056E-2</v>
      </c>
    </row>
    <row r="326" spans="1:4" x14ac:dyDescent="0.3">
      <c r="A326" s="16" t="s">
        <v>70</v>
      </c>
      <c r="B326" s="16" t="s">
        <v>58</v>
      </c>
      <c r="C326" s="45">
        <v>68.999202893946531</v>
      </c>
      <c r="D326" s="18">
        <f xml:space="preserve"> C326 / (24 * 'VRP Solver Console'!C10)</f>
        <v>4.10709541035396E-2</v>
      </c>
    </row>
    <row r="327" spans="1:4" x14ac:dyDescent="0.3">
      <c r="A327" s="16" t="s">
        <v>70</v>
      </c>
      <c r="B327" s="16" t="s">
        <v>59</v>
      </c>
      <c r="C327" s="44">
        <v>41.396255869341609</v>
      </c>
      <c r="D327" s="17">
        <f xml:space="preserve"> C327 / (24 * 'VRP Solver Console'!C10)</f>
        <v>2.4640628493655718E-2</v>
      </c>
    </row>
    <row r="328" spans="1:4" x14ac:dyDescent="0.3">
      <c r="A328" s="16" t="s">
        <v>70</v>
      </c>
      <c r="B328" s="16" t="s">
        <v>60</v>
      </c>
      <c r="C328" s="45">
        <v>18.246369501903654</v>
      </c>
      <c r="D328" s="18">
        <f xml:space="preserve"> C328 / (24 * 'VRP Solver Console'!C10)</f>
        <v>1.0860934227323604E-2</v>
      </c>
    </row>
    <row r="329" spans="1:4" x14ac:dyDescent="0.3">
      <c r="A329" s="16" t="s">
        <v>70</v>
      </c>
      <c r="B329" s="16" t="s">
        <v>61</v>
      </c>
      <c r="C329" s="44">
        <v>81.380710245118891</v>
      </c>
      <c r="D329" s="17">
        <f xml:space="preserve"> C329 / (24 * 'VRP Solver Console'!C10)</f>
        <v>4.8440898955427913E-2</v>
      </c>
    </row>
    <row r="330" spans="1:4" x14ac:dyDescent="0.3">
      <c r="A330" s="16" t="s">
        <v>70</v>
      </c>
      <c r="B330" s="16" t="s">
        <v>62</v>
      </c>
      <c r="C330" s="45">
        <v>44.473924944848299</v>
      </c>
      <c r="D330" s="18">
        <f xml:space="preserve"> C330 / (24 * 'VRP Solver Console'!C10)</f>
        <v>2.647257437193351E-2</v>
      </c>
    </row>
    <row r="331" spans="1:4" x14ac:dyDescent="0.3">
      <c r="A331" s="16" t="s">
        <v>70</v>
      </c>
      <c r="B331" s="16" t="s">
        <v>63</v>
      </c>
      <c r="C331" s="44">
        <v>36.056899478463201</v>
      </c>
      <c r="D331" s="17">
        <f xml:space="preserve"> C331 / (24 * 'VRP Solver Console'!C10)</f>
        <v>2.1462440165751905E-2</v>
      </c>
    </row>
    <row r="332" spans="1:4" x14ac:dyDescent="0.3">
      <c r="A332" s="16" t="s">
        <v>70</v>
      </c>
      <c r="B332" s="16" t="s">
        <v>64</v>
      </c>
      <c r="C332" s="45">
        <v>54.535493029769157</v>
      </c>
      <c r="D332" s="18">
        <f xml:space="preserve"> C332 / (24 * 'VRP Solver Console'!C10)</f>
        <v>3.246160299391021E-2</v>
      </c>
    </row>
    <row r="333" spans="1:4" x14ac:dyDescent="0.3">
      <c r="A333" s="16" t="s">
        <v>70</v>
      </c>
      <c r="B333" s="16" t="s">
        <v>65</v>
      </c>
      <c r="C333" s="44">
        <v>75.628103242114975</v>
      </c>
      <c r="D333" s="17">
        <f xml:space="preserve"> C333 / (24 * 'VRP Solver Console'!C10)</f>
        <v>4.5016728120306534E-2</v>
      </c>
    </row>
    <row r="334" spans="1:4" x14ac:dyDescent="0.3">
      <c r="A334" s="16" t="s">
        <v>70</v>
      </c>
      <c r="B334" s="16" t="s">
        <v>66</v>
      </c>
      <c r="C334" s="45">
        <v>45.979125698516711</v>
      </c>
      <c r="D334" s="18">
        <f xml:space="preserve"> C334 / (24 * 'VRP Solver Console'!C10)</f>
        <v>2.7368527201498041E-2</v>
      </c>
    </row>
    <row r="335" spans="1:4" x14ac:dyDescent="0.3">
      <c r="A335" s="16" t="s">
        <v>70</v>
      </c>
      <c r="B335" s="16" t="s">
        <v>67</v>
      </c>
      <c r="C335" s="44">
        <v>43.549052802558172</v>
      </c>
      <c r="D335" s="17">
        <f xml:space="preserve"> C335 / (24 * 'VRP Solver Console'!C10)</f>
        <v>2.592205523961796E-2</v>
      </c>
    </row>
    <row r="336" spans="1:4" x14ac:dyDescent="0.3">
      <c r="A336" s="16" t="s">
        <v>70</v>
      </c>
      <c r="B336" s="16" t="s">
        <v>68</v>
      </c>
      <c r="C336" s="45">
        <v>41.938049549305461</v>
      </c>
      <c r="D336" s="18">
        <f xml:space="preserve"> C336 / (24 * 'VRP Solver Console'!C10)</f>
        <v>2.4963124731729441E-2</v>
      </c>
    </row>
    <row r="337" spans="1:4" x14ac:dyDescent="0.3">
      <c r="A337" s="16" t="s">
        <v>70</v>
      </c>
      <c r="B337" s="16" t="s">
        <v>69</v>
      </c>
      <c r="C337" s="44">
        <v>43.278632141046231</v>
      </c>
      <c r="D337" s="17">
        <f xml:space="preserve"> C337 / (24 * 'VRP Solver Console'!C10)</f>
        <v>2.5761090560146565E-2</v>
      </c>
    </row>
    <row r="338" spans="1:4" x14ac:dyDescent="0.3">
      <c r="A338" s="16" t="s">
        <v>70</v>
      </c>
      <c r="B338" s="16" t="s">
        <v>70</v>
      </c>
      <c r="C338" s="45">
        <v>0</v>
      </c>
      <c r="D338" s="18">
        <v>0</v>
      </c>
    </row>
    <row r="339" spans="1:4" x14ac:dyDescent="0.3">
      <c r="A339" s="16" t="s">
        <v>70</v>
      </c>
      <c r="B339" s="16" t="s">
        <v>71</v>
      </c>
      <c r="C339" s="44">
        <v>23.914012628582427</v>
      </c>
      <c r="D339" s="17">
        <f xml:space="preserve"> C339 / (24 * 'VRP Solver Console'!C10)</f>
        <v>1.4234531326537158E-2</v>
      </c>
    </row>
    <row r="340" spans="1:4" x14ac:dyDescent="0.3">
      <c r="A340" s="16" t="s">
        <v>70</v>
      </c>
      <c r="B340" s="16" t="s">
        <v>72</v>
      </c>
      <c r="C340" s="45">
        <v>82.541444135658296</v>
      </c>
      <c r="D340" s="18">
        <f xml:space="preserve"> C340 / (24 * 'VRP Solver Console'!C10)</f>
        <v>4.9131811985510893E-2</v>
      </c>
    </row>
    <row r="341" spans="1:4" x14ac:dyDescent="0.3">
      <c r="A341" s="16" t="s">
        <v>70</v>
      </c>
      <c r="B341" s="16" t="s">
        <v>73</v>
      </c>
      <c r="C341" s="44">
        <v>68.176535552930531</v>
      </c>
      <c r="D341" s="17">
        <f xml:space="preserve"> C341 / (24 * 'VRP Solver Console'!C10)</f>
        <v>4.0581271162458653E-2</v>
      </c>
    </row>
    <row r="342" spans="1:4" x14ac:dyDescent="0.3">
      <c r="A342" s="16" t="s">
        <v>71</v>
      </c>
      <c r="B342" s="16" t="s">
        <v>52</v>
      </c>
      <c r="C342" s="45">
        <v>40.563160626361451</v>
      </c>
      <c r="D342" s="18">
        <f xml:space="preserve"> C342 / (24 * 'VRP Solver Console'!C10)</f>
        <v>2.4144738468072292E-2</v>
      </c>
    </row>
    <row r="343" spans="1:4" x14ac:dyDescent="0.3">
      <c r="A343" s="16" t="s">
        <v>71</v>
      </c>
      <c r="B343" s="16" t="s">
        <v>54</v>
      </c>
      <c r="C343" s="44">
        <v>63.547226532713445</v>
      </c>
      <c r="D343" s="17">
        <f xml:space="preserve"> C343 / (24 * 'VRP Solver Console'!C10)</f>
        <v>3.7825730078996096E-2</v>
      </c>
    </row>
    <row r="344" spans="1:4" x14ac:dyDescent="0.3">
      <c r="A344" s="16" t="s">
        <v>71</v>
      </c>
      <c r="B344" s="16" t="s">
        <v>56</v>
      </c>
      <c r="C344" s="45">
        <v>66.35005651843862</v>
      </c>
      <c r="D344" s="18">
        <f xml:space="preserve"> C344 / (24 * 'VRP Solver Console'!C10)</f>
        <v>3.9494081260975367E-2</v>
      </c>
    </row>
    <row r="345" spans="1:4" x14ac:dyDescent="0.3">
      <c r="A345" s="16" t="s">
        <v>71</v>
      </c>
      <c r="B345" s="16" t="s">
        <v>57</v>
      </c>
      <c r="C345" s="44">
        <v>41.40591745149478</v>
      </c>
      <c r="D345" s="17">
        <f xml:space="preserve"> C345 / (24 * 'VRP Solver Console'!C10)</f>
        <v>2.4646379435413559E-2</v>
      </c>
    </row>
    <row r="346" spans="1:4" x14ac:dyDescent="0.3">
      <c r="A346" s="16" t="s">
        <v>71</v>
      </c>
      <c r="B346" s="16" t="s">
        <v>58</v>
      </c>
      <c r="C346" s="45">
        <v>80.317183715566131</v>
      </c>
      <c r="D346" s="18">
        <f xml:space="preserve"> C346 / (24 * 'VRP Solver Console'!C10)</f>
        <v>4.7807847449741744E-2</v>
      </c>
    </row>
    <row r="347" spans="1:4" x14ac:dyDescent="0.3">
      <c r="A347" s="16" t="s">
        <v>71</v>
      </c>
      <c r="B347" s="16" t="s">
        <v>59</v>
      </c>
      <c r="C347" s="44">
        <v>37.993288881064245</v>
      </c>
      <c r="D347" s="17">
        <f xml:space="preserve"> C347 / (24 * 'VRP Solver Console'!C10)</f>
        <v>2.2615052905395384E-2</v>
      </c>
    </row>
    <row r="348" spans="1:4" x14ac:dyDescent="0.3">
      <c r="A348" s="16" t="s">
        <v>71</v>
      </c>
      <c r="B348" s="16" t="s">
        <v>60</v>
      </c>
      <c r="C348" s="45">
        <v>41.141341737964737</v>
      </c>
      <c r="D348" s="18">
        <f xml:space="preserve"> C348 / (24 * 'VRP Solver Console'!C10)</f>
        <v>2.4488893891645675E-2</v>
      </c>
    </row>
    <row r="349" spans="1:4" x14ac:dyDescent="0.3">
      <c r="A349" s="16" t="s">
        <v>71</v>
      </c>
      <c r="B349" s="16" t="s">
        <v>61</v>
      </c>
      <c r="C349" s="44">
        <v>81.754388261426058</v>
      </c>
      <c r="D349" s="17">
        <f xml:space="preserve"> C349 / (24 * 'VRP Solver Console'!C10)</f>
        <v>4.8663326346086937E-2</v>
      </c>
    </row>
    <row r="350" spans="1:4" x14ac:dyDescent="0.3">
      <c r="A350" s="16" t="s">
        <v>71</v>
      </c>
      <c r="B350" s="16" t="s">
        <v>62</v>
      </c>
      <c r="C350" s="45">
        <v>20.85209821576716</v>
      </c>
      <c r="D350" s="18">
        <f xml:space="preserve"> C350 / (24 * 'VRP Solver Console'!C10)</f>
        <v>1.2411963223670929E-2</v>
      </c>
    </row>
    <row r="351" spans="1:4" x14ac:dyDescent="0.3">
      <c r="A351" s="16" t="s">
        <v>71</v>
      </c>
      <c r="B351" s="16" t="s">
        <v>63</v>
      </c>
      <c r="C351" s="44">
        <v>43.197453628657321</v>
      </c>
      <c r="D351" s="17">
        <f xml:space="preserve"> C351 / (24 * 'VRP Solver Console'!C10)</f>
        <v>2.5712770017057931E-2</v>
      </c>
    </row>
    <row r="352" spans="1:4" x14ac:dyDescent="0.3">
      <c r="A352" s="16" t="s">
        <v>71</v>
      </c>
      <c r="B352" s="16" t="s">
        <v>64</v>
      </c>
      <c r="C352" s="45">
        <v>41.202912518413065</v>
      </c>
      <c r="D352" s="18">
        <f xml:space="preserve"> C352 / (24 * 'VRP Solver Console'!C10)</f>
        <v>2.4525543165722061E-2</v>
      </c>
    </row>
    <row r="353" spans="1:4" x14ac:dyDescent="0.3">
      <c r="A353" s="16" t="s">
        <v>71</v>
      </c>
      <c r="B353" s="16" t="s">
        <v>65</v>
      </c>
      <c r="C353" s="44">
        <v>96.297715445383233</v>
      </c>
      <c r="D353" s="17">
        <f xml:space="preserve"> C353 / (24 * 'VRP Solver Console'!C10)</f>
        <v>5.7320068717490021E-2</v>
      </c>
    </row>
    <row r="354" spans="1:4" x14ac:dyDescent="0.3">
      <c r="A354" s="16" t="s">
        <v>71</v>
      </c>
      <c r="B354" s="16" t="s">
        <v>66</v>
      </c>
      <c r="C354" s="45">
        <v>22.098868749327423</v>
      </c>
      <c r="D354" s="18">
        <f xml:space="preserve"> C354 / (24 * 'VRP Solver Console'!C10)</f>
        <v>1.3154088541266323E-2</v>
      </c>
    </row>
    <row r="355" spans="1:4" x14ac:dyDescent="0.3">
      <c r="A355" s="16" t="s">
        <v>71</v>
      </c>
      <c r="B355" s="16" t="s">
        <v>67</v>
      </c>
      <c r="C355" s="44">
        <v>24.041630560342615</v>
      </c>
      <c r="D355" s="17">
        <f xml:space="preserve"> C355 / (24 * 'VRP Solver Console'!C10)</f>
        <v>1.4310494381156318E-2</v>
      </c>
    </row>
    <row r="356" spans="1:4" x14ac:dyDescent="0.3">
      <c r="A356" s="16" t="s">
        <v>71</v>
      </c>
      <c r="B356" s="16" t="s">
        <v>68</v>
      </c>
      <c r="C356" s="45">
        <v>40.994145923534006</v>
      </c>
      <c r="D356" s="18">
        <f xml:space="preserve"> C356 / (24 * 'VRP Solver Console'!C10)</f>
        <v>2.440127733543691E-2</v>
      </c>
    </row>
    <row r="357" spans="1:4" x14ac:dyDescent="0.3">
      <c r="A357" s="16" t="s">
        <v>71</v>
      </c>
      <c r="B357" s="16" t="s">
        <v>69</v>
      </c>
      <c r="C357" s="44">
        <v>51.739733281106112</v>
      </c>
      <c r="D357" s="17">
        <f xml:space="preserve"> C357 / (24 * 'VRP Solver Console'!C10)</f>
        <v>3.0797460286372685E-2</v>
      </c>
    </row>
    <row r="358" spans="1:4" x14ac:dyDescent="0.3">
      <c r="A358" s="16" t="s">
        <v>71</v>
      </c>
      <c r="B358" s="16" t="s">
        <v>70</v>
      </c>
      <c r="C358" s="45">
        <v>23.914012628582427</v>
      </c>
      <c r="D358" s="18">
        <f xml:space="preserve"> C358 / (24 * 'VRP Solver Console'!C10)</f>
        <v>1.4234531326537158E-2</v>
      </c>
    </row>
    <row r="359" spans="1:4" x14ac:dyDescent="0.3">
      <c r="A359" s="16" t="s">
        <v>71</v>
      </c>
      <c r="B359" s="16" t="s">
        <v>71</v>
      </c>
      <c r="C359" s="44">
        <v>0</v>
      </c>
      <c r="D359" s="17">
        <v>0</v>
      </c>
    </row>
    <row r="360" spans="1:4" x14ac:dyDescent="0.3">
      <c r="A360" s="16" t="s">
        <v>71</v>
      </c>
      <c r="B360" s="16" t="s">
        <v>72</v>
      </c>
      <c r="C360" s="45">
        <v>84.43275430779218</v>
      </c>
      <c r="D360" s="18">
        <f xml:space="preserve"> C360 / (24 * 'VRP Solver Console'!C10)</f>
        <v>5.0257591849876299E-2</v>
      </c>
    </row>
    <row r="361" spans="1:4" x14ac:dyDescent="0.3">
      <c r="A361" s="16" t="s">
        <v>71</v>
      </c>
      <c r="B361" s="16" t="s">
        <v>73</v>
      </c>
      <c r="C361" s="44">
        <v>89.285161141143718</v>
      </c>
      <c r="D361" s="17">
        <f xml:space="preserve"> C361 / (24 * 'VRP Solver Console'!C10)</f>
        <v>5.3145929250680783E-2</v>
      </c>
    </row>
    <row r="362" spans="1:4" x14ac:dyDescent="0.3">
      <c r="A362" s="16" t="s">
        <v>72</v>
      </c>
      <c r="B362" s="16" t="s">
        <v>52</v>
      </c>
      <c r="C362" s="45">
        <v>59.853989006581678</v>
      </c>
      <c r="D362" s="18">
        <f xml:space="preserve"> C362 / (24 * 'VRP Solver Console'!C10)</f>
        <v>3.5627374408679573E-2</v>
      </c>
    </row>
    <row r="363" spans="1:4" x14ac:dyDescent="0.3">
      <c r="A363" s="16" t="s">
        <v>72</v>
      </c>
      <c r="B363" s="16" t="s">
        <v>54</v>
      </c>
      <c r="C363" s="44">
        <v>21.645322820415497</v>
      </c>
      <c r="D363" s="17">
        <f xml:space="preserve"> C363 / (24 * 'VRP Solver Console'!C10)</f>
        <v>1.2884120726437796E-2</v>
      </c>
    </row>
    <row r="364" spans="1:4" x14ac:dyDescent="0.3">
      <c r="A364" s="16" t="s">
        <v>72</v>
      </c>
      <c r="B364" s="16" t="s">
        <v>56</v>
      </c>
      <c r="C364" s="45">
        <v>73.724487112492014</v>
      </c>
      <c r="D364" s="18">
        <f xml:space="preserve"> C364 / (24 * 'VRP Solver Console'!C10)</f>
        <v>4.3883623281245246E-2</v>
      </c>
    </row>
    <row r="365" spans="1:4" x14ac:dyDescent="0.3">
      <c r="A365" s="16" t="s">
        <v>72</v>
      </c>
      <c r="B365" s="16" t="s">
        <v>57</v>
      </c>
      <c r="C365" s="44">
        <v>56.003571314693858</v>
      </c>
      <c r="D365" s="17">
        <f xml:space="preserve"> C365 / (24 * 'VRP Solver Console'!C10)</f>
        <v>3.3335459115889199E-2</v>
      </c>
    </row>
    <row r="366" spans="1:4" x14ac:dyDescent="0.3">
      <c r="A366" s="16" t="s">
        <v>72</v>
      </c>
      <c r="B366" s="16" t="s">
        <v>58</v>
      </c>
      <c r="C366" s="45">
        <v>33.614877658560651</v>
      </c>
      <c r="D366" s="18">
        <f xml:space="preserve"> C366 / (24 * 'VRP Solver Console'!C10)</f>
        <v>2.0008855749143246E-2</v>
      </c>
    </row>
    <row r="367" spans="1:4" x14ac:dyDescent="0.3">
      <c r="A367" s="16" t="s">
        <v>72</v>
      </c>
      <c r="B367" s="16" t="s">
        <v>59</v>
      </c>
      <c r="C367" s="44">
        <v>46.543098306838147</v>
      </c>
      <c r="D367" s="17">
        <f xml:space="preserve"> C367 / (24 * 'VRP Solver Console'!C10)</f>
        <v>2.7704225182641755E-2</v>
      </c>
    </row>
    <row r="368" spans="1:4" x14ac:dyDescent="0.3">
      <c r="A368" s="16" t="s">
        <v>72</v>
      </c>
      <c r="B368" s="16" t="s">
        <v>60</v>
      </c>
      <c r="C368" s="45">
        <v>92.81993320402681</v>
      </c>
      <c r="D368" s="18">
        <f xml:space="preserve"> C368 / (24 * 'VRP Solver Console'!C10)</f>
        <v>5.5249960240492148E-2</v>
      </c>
    </row>
    <row r="369" spans="1:4" x14ac:dyDescent="0.3">
      <c r="A369" s="16" t="s">
        <v>72</v>
      </c>
      <c r="B369" s="16" t="s">
        <v>61</v>
      </c>
      <c r="C369" s="44">
        <v>5.5901699437494745</v>
      </c>
      <c r="D369" s="17">
        <f xml:space="preserve"> C369 / (24 * 'VRP Solver Console'!C10)</f>
        <v>3.3274821093746874E-3</v>
      </c>
    </row>
    <row r="370" spans="1:4" x14ac:dyDescent="0.3">
      <c r="A370" s="16" t="s">
        <v>72</v>
      </c>
      <c r="B370" s="16" t="s">
        <v>62</v>
      </c>
      <c r="C370" s="45">
        <v>86.816703461949075</v>
      </c>
      <c r="D370" s="18">
        <f xml:space="preserve"> C370 / (24 * 'VRP Solver Console'!C10)</f>
        <v>5.1676609203541113E-2</v>
      </c>
    </row>
    <row r="371" spans="1:4" x14ac:dyDescent="0.3">
      <c r="A371" s="16" t="s">
        <v>72</v>
      </c>
      <c r="B371" s="16" t="s">
        <v>63</v>
      </c>
      <c r="C371" s="44">
        <v>46.605257214181322</v>
      </c>
      <c r="D371" s="17">
        <f xml:space="preserve"> C371 / (24 * 'VRP Solver Console'!C10)</f>
        <v>2.7741224532250787E-2</v>
      </c>
    </row>
    <row r="372" spans="1:4" x14ac:dyDescent="0.3">
      <c r="A372" s="16" t="s">
        <v>72</v>
      </c>
      <c r="B372" s="16" t="s">
        <v>64</v>
      </c>
      <c r="C372" s="45">
        <v>55.085842101215086</v>
      </c>
      <c r="D372" s="18">
        <f xml:space="preserve"> C372 / (24 * 'VRP Solver Console'!C10)</f>
        <v>3.278919172691374E-2</v>
      </c>
    </row>
    <row r="373" spans="1:4" x14ac:dyDescent="0.3">
      <c r="A373" s="16" t="s">
        <v>72</v>
      </c>
      <c r="B373" s="16" t="s">
        <v>65</v>
      </c>
      <c r="C373" s="44">
        <v>78.406377291646379</v>
      </c>
      <c r="D373" s="17">
        <f xml:space="preserve"> C373 / (24 * 'VRP Solver Console'!C10)</f>
        <v>4.6670462673599034E-2</v>
      </c>
    </row>
    <row r="374" spans="1:4" x14ac:dyDescent="0.3">
      <c r="A374" s="16" t="s">
        <v>72</v>
      </c>
      <c r="B374" s="16" t="s">
        <v>66</v>
      </c>
      <c r="C374" s="45">
        <v>90.312180795283652</v>
      </c>
      <c r="D374" s="18">
        <f xml:space="preserve"> C374 / (24 * 'VRP Solver Console'!C10)</f>
        <v>5.3757250473383124E-2</v>
      </c>
    </row>
    <row r="375" spans="1:4" x14ac:dyDescent="0.3">
      <c r="A375" s="16" t="s">
        <v>72</v>
      </c>
      <c r="B375" s="16" t="s">
        <v>67</v>
      </c>
      <c r="C375" s="44">
        <v>72.62485800330353</v>
      </c>
      <c r="D375" s="17">
        <f xml:space="preserve"> C375 / (24 * 'VRP Solver Console'!C10)</f>
        <v>4.322908214482353E-2</v>
      </c>
    </row>
    <row r="376" spans="1:4" x14ac:dyDescent="0.3">
      <c r="A376" s="16" t="s">
        <v>72</v>
      </c>
      <c r="B376" s="16" t="s">
        <v>68</v>
      </c>
      <c r="C376" s="45">
        <v>43.481605306152169</v>
      </c>
      <c r="D376" s="18">
        <f xml:space="preserve"> C376 / (24 * 'VRP Solver Console'!C10)</f>
        <v>2.588190792032867E-2</v>
      </c>
    </row>
    <row r="377" spans="1:4" x14ac:dyDescent="0.3">
      <c r="A377" s="16" t="s">
        <v>72</v>
      </c>
      <c r="B377" s="16" t="s">
        <v>69</v>
      </c>
      <c r="C377" s="44">
        <v>40.66362010446192</v>
      </c>
      <c r="D377" s="17">
        <f xml:space="preserve"> C377 / (24 * 'VRP Solver Console'!C10)</f>
        <v>2.4204535776465429E-2</v>
      </c>
    </row>
    <row r="378" spans="1:4" x14ac:dyDescent="0.3">
      <c r="A378" s="16" t="s">
        <v>72</v>
      </c>
      <c r="B378" s="16" t="s">
        <v>70</v>
      </c>
      <c r="C378" s="45">
        <v>82.541444135658296</v>
      </c>
      <c r="D378" s="18">
        <f xml:space="preserve"> C378 / (24 * 'VRP Solver Console'!C10)</f>
        <v>4.9131811985510893E-2</v>
      </c>
    </row>
    <row r="379" spans="1:4" x14ac:dyDescent="0.3">
      <c r="A379" s="16" t="s">
        <v>72</v>
      </c>
      <c r="B379" s="16" t="s">
        <v>71</v>
      </c>
      <c r="C379" s="44">
        <v>84.43275430779218</v>
      </c>
      <c r="D379" s="17">
        <f xml:space="preserve"> C379 / (24 * 'VRP Solver Console'!C10)</f>
        <v>5.0257591849876299E-2</v>
      </c>
    </row>
    <row r="380" spans="1:4" x14ac:dyDescent="0.3">
      <c r="A380" s="16" t="s">
        <v>72</v>
      </c>
      <c r="B380" s="16" t="s">
        <v>72</v>
      </c>
      <c r="C380" s="45">
        <v>0</v>
      </c>
      <c r="D380" s="18">
        <v>0</v>
      </c>
    </row>
    <row r="381" spans="1:4" x14ac:dyDescent="0.3">
      <c r="A381" s="16" t="s">
        <v>72</v>
      </c>
      <c r="B381" s="16" t="s">
        <v>73</v>
      </c>
      <c r="C381" s="44">
        <v>77.799293055914077</v>
      </c>
      <c r="D381" s="17">
        <f xml:space="preserve"> C381 / (24 * 'VRP Solver Console'!C10)</f>
        <v>4.6309103009472663E-2</v>
      </c>
    </row>
    <row r="382" spans="1:4" x14ac:dyDescent="0.3">
      <c r="A382" s="16" t="s">
        <v>73</v>
      </c>
      <c r="B382" s="16" t="s">
        <v>52</v>
      </c>
      <c r="C382" s="45">
        <v>50.427869278802575</v>
      </c>
      <c r="D382" s="18">
        <f xml:space="preserve"> C382 / (24 * 'VRP Solver Console'!C10)</f>
        <v>3.0016588856430104E-2</v>
      </c>
    </row>
    <row r="383" spans="1:4" x14ac:dyDescent="0.3">
      <c r="A383" s="16" t="s">
        <v>73</v>
      </c>
      <c r="B383" s="16" t="s">
        <v>54</v>
      </c>
      <c r="C383" s="44">
        <v>76.97174806381885</v>
      </c>
      <c r="D383" s="17">
        <f xml:space="preserve"> C383 / (24 * 'VRP Solver Console'!C10)</f>
        <v>4.581651670465408E-2</v>
      </c>
    </row>
    <row r="384" spans="1:4" x14ac:dyDescent="0.3">
      <c r="A384" s="16" t="s">
        <v>73</v>
      </c>
      <c r="B384" s="16" t="s">
        <v>56</v>
      </c>
      <c r="C384" s="45">
        <v>23.530618351416095</v>
      </c>
      <c r="D384" s="18">
        <f xml:space="preserve"> C384 / (24 * 'VRP Solver Console'!C10)</f>
        <v>1.4006320447271485E-2</v>
      </c>
    </row>
    <row r="385" spans="1:4" x14ac:dyDescent="0.3">
      <c r="A385" s="16" t="s">
        <v>73</v>
      </c>
      <c r="B385" s="16" t="s">
        <v>57</v>
      </c>
      <c r="C385" s="44">
        <v>97.374586006822128</v>
      </c>
      <c r="D385" s="17">
        <f xml:space="preserve"> C385 / (24 * 'VRP Solver Console'!C10)</f>
        <v>5.7961063099298889E-2</v>
      </c>
    </row>
    <row r="386" spans="1:4" x14ac:dyDescent="0.3">
      <c r="A386" s="16" t="s">
        <v>73</v>
      </c>
      <c r="B386" s="16" t="s">
        <v>58</v>
      </c>
      <c r="C386" s="45">
        <v>44.390652169122276</v>
      </c>
      <c r="D386" s="18">
        <f xml:space="preserve"> C386 / (24 * 'VRP Solver Console'!C10)</f>
        <v>2.6423007243525164E-2</v>
      </c>
    </row>
    <row r="387" spans="1:4" x14ac:dyDescent="0.3">
      <c r="A387" s="16" t="s">
        <v>73</v>
      </c>
      <c r="B387" s="16" t="s">
        <v>59</v>
      </c>
      <c r="C387" s="44">
        <v>75.148719217296048</v>
      </c>
      <c r="D387" s="17">
        <f xml:space="preserve"> C387 / (24 * 'VRP Solver Console'!C10)</f>
        <v>4.4731380486485742E-2</v>
      </c>
    </row>
    <row r="388" spans="1:4" x14ac:dyDescent="0.3">
      <c r="A388" s="16" t="s">
        <v>73</v>
      </c>
      <c r="B388" s="16" t="s">
        <v>60</v>
      </c>
      <c r="C388" s="45">
        <v>60.495041119086785</v>
      </c>
      <c r="D388" s="18">
        <f xml:space="preserve"> C388 / (24 * 'VRP Solver Console'!C10)</f>
        <v>3.6008953047075465E-2</v>
      </c>
    </row>
    <row r="389" spans="1:4" x14ac:dyDescent="0.3">
      <c r="A389" s="16" t="s">
        <v>73</v>
      </c>
      <c r="B389" s="16" t="s">
        <v>61</v>
      </c>
      <c r="C389" s="44">
        <v>81.236075729936644</v>
      </c>
      <c r="D389" s="17">
        <f xml:space="preserve"> C389 / (24 * 'VRP Solver Console'!C10)</f>
        <v>4.8354806982105147E-2</v>
      </c>
    </row>
    <row r="390" spans="1:4" x14ac:dyDescent="0.3">
      <c r="A390" s="16" t="s">
        <v>73</v>
      </c>
      <c r="B390" s="16" t="s">
        <v>62</v>
      </c>
      <c r="C390" s="45">
        <v>106.62199585451401</v>
      </c>
      <c r="D390" s="18">
        <f xml:space="preserve"> C390 / (24 * 'VRP Solver Console'!C10)</f>
        <v>6.3465473722925006E-2</v>
      </c>
    </row>
    <row r="391" spans="1:4" x14ac:dyDescent="0.3">
      <c r="A391" s="16" t="s">
        <v>73</v>
      </c>
      <c r="B391" s="16" t="s">
        <v>63</v>
      </c>
      <c r="C391" s="44">
        <v>57.664720583733001</v>
      </c>
      <c r="D391" s="17">
        <f xml:space="preserve"> C391 / (24 * 'VRP Solver Console'!C10)</f>
        <v>3.4324238442698211E-2</v>
      </c>
    </row>
    <row r="392" spans="1:4" x14ac:dyDescent="0.3">
      <c r="A392" s="16" t="s">
        <v>73</v>
      </c>
      <c r="B392" s="16" t="s">
        <v>64</v>
      </c>
      <c r="C392" s="45">
        <v>96.201871083674874</v>
      </c>
      <c r="D392" s="18">
        <f xml:space="preserve"> C392 / (24 * 'VRP Solver Console'!C10)</f>
        <v>5.7263018502187422E-2</v>
      </c>
    </row>
    <row r="393" spans="1:4" x14ac:dyDescent="0.3">
      <c r="A393" s="16" t="s">
        <v>73</v>
      </c>
      <c r="B393" s="16" t="s">
        <v>65</v>
      </c>
      <c r="C393" s="44">
        <v>7.8771822373231908</v>
      </c>
      <c r="D393" s="17">
        <f xml:space="preserve"> C393 / (24 * 'VRP Solver Console'!C10)</f>
        <v>4.6887989507876137E-3</v>
      </c>
    </row>
    <row r="394" spans="1:4" x14ac:dyDescent="0.3">
      <c r="A394" s="16" t="s">
        <v>73</v>
      </c>
      <c r="B394" s="16" t="s">
        <v>66</v>
      </c>
      <c r="C394" s="45">
        <v>109.20531122614872</v>
      </c>
      <c r="D394" s="18">
        <f xml:space="preserve"> C394 / (24 * 'VRP Solver Console'!C10)</f>
        <v>6.5003161444136148E-2</v>
      </c>
    </row>
    <row r="395" spans="1:4" x14ac:dyDescent="0.3">
      <c r="A395" s="16" t="s">
        <v>73</v>
      </c>
      <c r="B395" s="16" t="s">
        <v>67</v>
      </c>
      <c r="C395" s="44">
        <v>98.77044092237314</v>
      </c>
      <c r="D395" s="17">
        <f xml:space="preserve"> C395 / (24 * 'VRP Solver Console'!C10)</f>
        <v>5.8791929120460204E-2</v>
      </c>
    </row>
    <row r="396" spans="1:4" x14ac:dyDescent="0.3">
      <c r="A396" s="16" t="s">
        <v>73</v>
      </c>
      <c r="B396" s="16" t="s">
        <v>68</v>
      </c>
      <c r="C396" s="45">
        <v>71.19915729838381</v>
      </c>
      <c r="D396" s="18">
        <f xml:space="preserve"> C396 / (24 * 'VRP Solver Console'!C10)</f>
        <v>4.2380450772847508E-2</v>
      </c>
    </row>
    <row r="397" spans="1:4" x14ac:dyDescent="0.3">
      <c r="A397" s="16" t="s">
        <v>73</v>
      </c>
      <c r="B397" s="16" t="s">
        <v>69</v>
      </c>
      <c r="C397" s="44">
        <v>53.076925306577444</v>
      </c>
      <c r="D397" s="17">
        <f xml:space="preserve"> C397 / (24 * 'VRP Solver Console'!C10)</f>
        <v>3.1593407920581809E-2</v>
      </c>
    </row>
    <row r="398" spans="1:4" x14ac:dyDescent="0.3">
      <c r="A398" s="16" t="s">
        <v>73</v>
      </c>
      <c r="B398" s="16" t="s">
        <v>70</v>
      </c>
      <c r="C398" s="45">
        <v>68.176535552930531</v>
      </c>
      <c r="D398" s="18">
        <f xml:space="preserve"> C398 / (24 * 'VRP Solver Console'!C10)</f>
        <v>4.0581271162458653E-2</v>
      </c>
    </row>
    <row r="399" spans="1:4" x14ac:dyDescent="0.3">
      <c r="A399" s="16" t="s">
        <v>73</v>
      </c>
      <c r="B399" s="16" t="s">
        <v>71</v>
      </c>
      <c r="C399" s="44">
        <v>89.285161141143718</v>
      </c>
      <c r="D399" s="17">
        <f xml:space="preserve"> C399 / (24 * 'VRP Solver Console'!C10)</f>
        <v>5.3145929250680783E-2</v>
      </c>
    </row>
    <row r="400" spans="1:4" x14ac:dyDescent="0.3">
      <c r="A400" s="16" t="s">
        <v>73</v>
      </c>
      <c r="B400" s="16" t="s">
        <v>72</v>
      </c>
      <c r="C400" s="45">
        <v>77.799293055914077</v>
      </c>
      <c r="D400" s="18">
        <f xml:space="preserve"> C400 / (24 * 'VRP Solver Console'!C10)</f>
        <v>4.6309103009472663E-2</v>
      </c>
    </row>
    <row r="401" spans="1:4" x14ac:dyDescent="0.3">
      <c r="A401" s="14" t="s">
        <v>73</v>
      </c>
      <c r="B401" s="14" t="s">
        <v>73</v>
      </c>
      <c r="C401" s="43">
        <v>0</v>
      </c>
      <c r="D401" s="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87762-58F9-4450-9479-1F6ECD995977}">
  <dimension ref="A1:M3"/>
  <sheetViews>
    <sheetView workbookViewId="0">
      <selection activeCell="J3" sqref="J3"/>
    </sheetView>
  </sheetViews>
  <sheetFormatPr defaultRowHeight="14.4" x14ac:dyDescent="0.3"/>
  <cols>
    <col min="1" max="1" width="13.109375" bestFit="1" customWidth="1"/>
    <col min="2" max="2" width="11.33203125" bestFit="1" customWidth="1"/>
    <col min="3" max="3" width="8.21875" bestFit="1" customWidth="1"/>
    <col min="4" max="4" width="15.88671875" bestFit="1" customWidth="1"/>
    <col min="5" max="5" width="19.33203125" bestFit="1" customWidth="1"/>
    <col min="6" max="6" width="16.88671875" bestFit="1" customWidth="1"/>
    <col min="7" max="7" width="12.21875" bestFit="1" customWidth="1"/>
    <col min="8" max="8" width="14.109375" bestFit="1" customWidth="1"/>
    <col min="9" max="9" width="15.33203125" bestFit="1" customWidth="1"/>
    <col min="10" max="10" width="16.5546875" bestFit="1" customWidth="1"/>
    <col min="11" max="11" width="12.109375" bestFit="1" customWidth="1"/>
    <col min="12" max="12" width="12.77734375" hidden="1" customWidth="1"/>
    <col min="13" max="13" width="17.44140625" bestFit="1" customWidth="1"/>
  </cols>
  <sheetData>
    <row r="1" spans="1:13" x14ac:dyDescent="0.3">
      <c r="A1" s="9" t="s">
        <v>79</v>
      </c>
      <c r="B1" s="9" t="s">
        <v>80</v>
      </c>
      <c r="C1" s="9" t="s">
        <v>81</v>
      </c>
      <c r="D1" s="9" t="s">
        <v>82</v>
      </c>
      <c r="E1" s="9" t="s">
        <v>83</v>
      </c>
      <c r="F1" s="9" t="s">
        <v>84</v>
      </c>
      <c r="G1" s="9" t="s">
        <v>85</v>
      </c>
      <c r="H1" s="9" t="s">
        <v>86</v>
      </c>
      <c r="I1" s="9" t="s">
        <v>87</v>
      </c>
      <c r="J1" s="9" t="s">
        <v>88</v>
      </c>
      <c r="K1" s="9" t="s">
        <v>89</v>
      </c>
      <c r="L1" s="9" t="s">
        <v>90</v>
      </c>
      <c r="M1" s="9" t="s">
        <v>91</v>
      </c>
    </row>
    <row r="2" spans="1:13" ht="15" thickBot="1" x14ac:dyDescent="0.35">
      <c r="A2" s="10" t="s">
        <v>52</v>
      </c>
      <c r="B2" s="46" t="s">
        <v>92</v>
      </c>
      <c r="C2" s="46">
        <v>2000</v>
      </c>
      <c r="D2" s="47">
        <v>0</v>
      </c>
      <c r="E2" s="47">
        <v>0</v>
      </c>
      <c r="F2" s="47">
        <v>1</v>
      </c>
      <c r="G2" s="47">
        <v>500</v>
      </c>
      <c r="H2" s="48">
        <v>0</v>
      </c>
      <c r="I2" s="49">
        <v>24</v>
      </c>
      <c r="J2" s="49">
        <v>24</v>
      </c>
      <c r="K2" s="46" t="s">
        <v>52</v>
      </c>
      <c r="L2" s="50">
        <f>IFERROR(MATCH(K2,'1.Locations'!$B$2:$B$2,0) - 1," ")</f>
        <v>0</v>
      </c>
      <c r="M2" s="46">
        <v>10</v>
      </c>
    </row>
    <row r="3" spans="1:13" ht="15" thickTop="1" x14ac:dyDescent="0.3"/>
  </sheetData>
  <dataValidations count="6">
    <dataValidation type="decimal" operator="greaterThan" allowBlank="1" showInputMessage="1" showErrorMessage="1" error="Please enter a nonnegative value" sqref="C2" xr:uid="{A7940758-C651-4505-9EA2-7293A05F54CC}">
      <formula1>-0.0001</formula1>
    </dataValidation>
    <dataValidation type="decimal" operator="greaterThan" allowBlank="1" showInputMessage="1" showErrorMessage="1" error="Please enter a nonnegative value" sqref="D2" xr:uid="{0CF534E9-3D89-4391-AD39-8E4FAD735E1B}">
      <formula1>-0.0001</formula1>
    </dataValidation>
    <dataValidation type="decimal" operator="greaterThan" allowBlank="1" showInputMessage="1" showErrorMessage="1" error="Please enter a nonnegative value" sqref="E2" xr:uid="{ABB60C26-4EC1-4751-80A6-D37C4313BB27}">
      <formula1>-0.0001</formula1>
    </dataValidation>
    <dataValidation type="decimal" operator="greaterThan" allowBlank="1" showInputMessage="1" showErrorMessage="1" error="Please enter a positive value" sqref="F2" xr:uid="{683473FF-78BF-40FA-98A8-E530CC531D2D}">
      <formula1>0</formula1>
    </dataValidation>
    <dataValidation type="whole" operator="greaterThan" allowBlank="1" showInputMessage="1" showErrorMessage="1" error="Please enter a nonnegative integer value" sqref="G2" xr:uid="{4E170AFF-7861-49A3-B82C-47521886F380}">
      <formula1>-1</formula1>
    </dataValidation>
    <dataValidation type="decimal" operator="greaterThan" allowBlank="1" showInputMessage="1" showErrorMessage="1" error="Please enter a positive value" sqref="J2" xr:uid="{28978113-1874-4BCD-AD0E-03A759D9E6AF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Please select a value from the list available in the selected cell." xr:uid="{27BDFB1B-41CA-4478-A923-7DF4791E0D3E}">
          <x14:formula1>
            <xm:f>'1.Locations'!$B$2:$B$2</xm:f>
          </x14:formula1>
          <xm:sqref>K2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7FBCB-8D47-4F7A-BA98-BFD5E728F7BE}">
  <dimension ref="A1:FM27"/>
  <sheetViews>
    <sheetView topLeftCell="BH1" workbookViewId="0">
      <selection activeCell="BR4" sqref="BR4:CF10"/>
    </sheetView>
  </sheetViews>
  <sheetFormatPr defaultRowHeight="14.4" x14ac:dyDescent="0.3"/>
  <cols>
    <col min="1" max="1" width="14.21875" bestFit="1" customWidth="1"/>
    <col min="2" max="2" width="13.5546875" bestFit="1" customWidth="1"/>
    <col min="3" max="3" width="10.44140625" hidden="1" customWidth="1"/>
    <col min="4" max="4" width="10.6640625" hidden="1" customWidth="1"/>
    <col min="5" max="5" width="12.109375" hidden="1" customWidth="1"/>
    <col min="6" max="6" width="16" bestFit="1" customWidth="1"/>
    <col min="7" max="7" width="11.109375" bestFit="1" customWidth="1"/>
    <col min="8" max="8" width="10.6640625" bestFit="1" customWidth="1"/>
    <col min="9" max="9" width="13.77734375" bestFit="1" customWidth="1"/>
    <col min="10" max="10" width="12.33203125" bestFit="1" customWidth="1"/>
    <col min="11" max="11" width="13.77734375" bestFit="1" customWidth="1"/>
    <col min="12" max="12" width="13.88671875" hidden="1" customWidth="1"/>
    <col min="13" max="13" width="15" hidden="1" customWidth="1"/>
    <col min="14" max="14" width="16.77734375" hidden="1" customWidth="1"/>
    <col min="15" max="15" width="17.88671875" hidden="1" customWidth="1"/>
    <col min="16" max="16" width="5.109375" bestFit="1" customWidth="1"/>
    <col min="18" max="18" width="10.21875" bestFit="1" customWidth="1"/>
    <col min="19" max="19" width="13.5546875" bestFit="1" customWidth="1"/>
    <col min="20" max="20" width="10.44140625" hidden="1" customWidth="1"/>
    <col min="21" max="21" width="10.6640625" hidden="1" customWidth="1"/>
    <col min="22" max="22" width="12.109375" hidden="1" customWidth="1"/>
    <col min="23" max="23" width="16" bestFit="1" customWidth="1"/>
    <col min="24" max="24" width="11.109375" bestFit="1" customWidth="1"/>
    <col min="25" max="25" width="10.6640625" bestFit="1" customWidth="1"/>
    <col min="26" max="26" width="13.77734375" bestFit="1" customWidth="1"/>
    <col min="27" max="27" width="12.33203125" bestFit="1" customWidth="1"/>
    <col min="28" max="28" width="13.77734375" bestFit="1" customWidth="1"/>
    <col min="29" max="29" width="13.88671875" hidden="1" customWidth="1"/>
    <col min="30" max="30" width="15" hidden="1" customWidth="1"/>
    <col min="31" max="31" width="16.77734375" hidden="1" customWidth="1"/>
    <col min="32" max="32" width="17.88671875" hidden="1" customWidth="1"/>
    <col min="33" max="33" width="5.109375" bestFit="1" customWidth="1"/>
    <col min="35" max="35" width="10.21875" bestFit="1" customWidth="1"/>
    <col min="36" max="36" width="13.5546875" bestFit="1" customWidth="1"/>
    <col min="37" max="37" width="10.44140625" hidden="1" customWidth="1"/>
    <col min="38" max="38" width="10.6640625" hidden="1" customWidth="1"/>
    <col min="39" max="39" width="12.109375" hidden="1" customWidth="1"/>
    <col min="40" max="40" width="16" bestFit="1" customWidth="1"/>
    <col min="41" max="41" width="11.109375" bestFit="1" customWidth="1"/>
    <col min="42" max="42" width="10.6640625" bestFit="1" customWidth="1"/>
    <col min="43" max="43" width="13.77734375" bestFit="1" customWidth="1"/>
    <col min="44" max="44" width="12.33203125" bestFit="1" customWidth="1"/>
    <col min="45" max="45" width="13.77734375" bestFit="1" customWidth="1"/>
    <col min="46" max="46" width="13.88671875" hidden="1" customWidth="1"/>
    <col min="47" max="47" width="15" hidden="1" customWidth="1"/>
    <col min="48" max="48" width="16.77734375" hidden="1" customWidth="1"/>
    <col min="49" max="49" width="17.88671875" hidden="1" customWidth="1"/>
    <col min="50" max="50" width="5.109375" bestFit="1" customWidth="1"/>
    <col min="52" max="52" width="10.21875" bestFit="1" customWidth="1"/>
    <col min="53" max="53" width="13.5546875" bestFit="1" customWidth="1"/>
    <col min="54" max="54" width="10.44140625" hidden="1" customWidth="1"/>
    <col min="55" max="55" width="10.6640625" hidden="1" customWidth="1"/>
    <col min="56" max="56" width="12.109375" hidden="1" customWidth="1"/>
    <col min="57" max="57" width="16" bestFit="1" customWidth="1"/>
    <col min="58" max="58" width="11.109375" bestFit="1" customWidth="1"/>
    <col min="59" max="59" width="10.6640625" bestFit="1" customWidth="1"/>
    <col min="60" max="60" width="13.77734375" bestFit="1" customWidth="1"/>
    <col min="61" max="61" width="12.33203125" bestFit="1" customWidth="1"/>
    <col min="62" max="62" width="13.77734375" bestFit="1" customWidth="1"/>
    <col min="63" max="63" width="13.88671875" hidden="1" customWidth="1"/>
    <col min="64" max="64" width="15" hidden="1" customWidth="1"/>
    <col min="65" max="65" width="16.77734375" hidden="1" customWidth="1"/>
    <col min="66" max="66" width="17.88671875" hidden="1" customWidth="1"/>
    <col min="67" max="67" width="5.109375" bestFit="1" customWidth="1"/>
    <col min="69" max="69" width="10.21875" bestFit="1" customWidth="1"/>
    <col min="70" max="70" width="13.5546875" bestFit="1" customWidth="1"/>
    <col min="71" max="71" width="10.44140625" hidden="1" customWidth="1"/>
    <col min="72" max="72" width="10.6640625" hidden="1" customWidth="1"/>
    <col min="73" max="73" width="12.109375" hidden="1" customWidth="1"/>
    <col min="74" max="74" width="16" bestFit="1" customWidth="1"/>
    <col min="75" max="75" width="11.109375" bestFit="1" customWidth="1"/>
    <col min="76" max="76" width="10.6640625" bestFit="1" customWidth="1"/>
    <col min="77" max="77" width="13.77734375" bestFit="1" customWidth="1"/>
    <col min="78" max="78" width="12.33203125" bestFit="1" customWidth="1"/>
    <col min="79" max="79" width="13.77734375" bestFit="1" customWidth="1"/>
    <col min="80" max="80" width="13.88671875" hidden="1" customWidth="1"/>
    <col min="81" max="81" width="15" hidden="1" customWidth="1"/>
    <col min="82" max="82" width="16.77734375" hidden="1" customWidth="1"/>
    <col min="83" max="83" width="17.88671875" hidden="1" customWidth="1"/>
    <col min="84" max="84" width="5.109375" bestFit="1" customWidth="1"/>
    <col min="86" max="86" width="10.21875" bestFit="1" customWidth="1"/>
    <col min="87" max="87" width="13.5546875" bestFit="1" customWidth="1"/>
    <col min="88" max="88" width="10.44140625" hidden="1" customWidth="1"/>
    <col min="89" max="89" width="10.6640625" hidden="1" customWidth="1"/>
    <col min="90" max="90" width="12.109375" hidden="1" customWidth="1"/>
    <col min="91" max="91" width="16" bestFit="1" customWidth="1"/>
    <col min="92" max="92" width="11.109375" bestFit="1" customWidth="1"/>
    <col min="93" max="93" width="10.6640625" bestFit="1" customWidth="1"/>
    <col min="94" max="94" width="13.77734375" bestFit="1" customWidth="1"/>
    <col min="95" max="95" width="12.33203125" bestFit="1" customWidth="1"/>
    <col min="96" max="96" width="13.77734375" bestFit="1" customWidth="1"/>
    <col min="97" max="97" width="13.88671875" hidden="1" customWidth="1"/>
    <col min="98" max="98" width="15" hidden="1" customWidth="1"/>
    <col min="99" max="99" width="16.77734375" hidden="1" customWidth="1"/>
    <col min="100" max="100" width="17.88671875" hidden="1" customWidth="1"/>
    <col min="101" max="101" width="5.109375" bestFit="1" customWidth="1"/>
    <col min="103" max="103" width="10.21875" bestFit="1" customWidth="1"/>
    <col min="104" max="104" width="13.5546875" bestFit="1" customWidth="1"/>
    <col min="105" max="105" width="10.44140625" hidden="1" customWidth="1"/>
    <col min="106" max="106" width="10.6640625" hidden="1" customWidth="1"/>
    <col min="107" max="107" width="12.109375" hidden="1" customWidth="1"/>
    <col min="108" max="108" width="16" bestFit="1" customWidth="1"/>
    <col min="109" max="109" width="11.109375" bestFit="1" customWidth="1"/>
    <col min="110" max="110" width="10.6640625" bestFit="1" customWidth="1"/>
    <col min="111" max="111" width="13.77734375" bestFit="1" customWidth="1"/>
    <col min="112" max="112" width="12.33203125" bestFit="1" customWidth="1"/>
    <col min="113" max="113" width="13.77734375" bestFit="1" customWidth="1"/>
    <col min="114" max="114" width="13.88671875" hidden="1" customWidth="1"/>
    <col min="115" max="115" width="15" hidden="1" customWidth="1"/>
    <col min="116" max="116" width="16.77734375" hidden="1" customWidth="1"/>
    <col min="117" max="117" width="17.88671875" hidden="1" customWidth="1"/>
    <col min="118" max="118" width="5.109375" bestFit="1" customWidth="1"/>
    <col min="120" max="120" width="10.21875" bestFit="1" customWidth="1"/>
    <col min="121" max="121" width="13.5546875" bestFit="1" customWidth="1"/>
    <col min="122" max="122" width="10.44140625" hidden="1" customWidth="1"/>
    <col min="123" max="123" width="10.6640625" hidden="1" customWidth="1"/>
    <col min="124" max="124" width="12.109375" hidden="1" customWidth="1"/>
    <col min="125" max="125" width="16" bestFit="1" customWidth="1"/>
    <col min="126" max="126" width="11.109375" bestFit="1" customWidth="1"/>
    <col min="127" max="127" width="10.6640625" bestFit="1" customWidth="1"/>
    <col min="128" max="128" width="13.77734375" bestFit="1" customWidth="1"/>
    <col min="129" max="129" width="12.33203125" bestFit="1" customWidth="1"/>
    <col min="130" max="130" width="13.77734375" bestFit="1" customWidth="1"/>
    <col min="131" max="131" width="13.88671875" hidden="1" customWidth="1"/>
    <col min="132" max="132" width="15" hidden="1" customWidth="1"/>
    <col min="133" max="133" width="16.77734375" hidden="1" customWidth="1"/>
    <col min="134" max="134" width="17.88671875" hidden="1" customWidth="1"/>
    <col min="135" max="135" width="5.109375" bestFit="1" customWidth="1"/>
    <col min="137" max="137" width="10.21875" bestFit="1" customWidth="1"/>
    <col min="138" max="138" width="13.5546875" bestFit="1" customWidth="1"/>
    <col min="139" max="139" width="10.44140625" hidden="1" customWidth="1"/>
    <col min="140" max="140" width="10.6640625" hidden="1" customWidth="1"/>
    <col min="141" max="141" width="12.109375" hidden="1" customWidth="1"/>
    <col min="142" max="142" width="16" bestFit="1" customWidth="1"/>
    <col min="143" max="143" width="11.109375" bestFit="1" customWidth="1"/>
    <col min="144" max="144" width="10.6640625" bestFit="1" customWidth="1"/>
    <col min="145" max="145" width="13.77734375" bestFit="1" customWidth="1"/>
    <col min="146" max="146" width="12.33203125" bestFit="1" customWidth="1"/>
    <col min="147" max="147" width="13.77734375" bestFit="1" customWidth="1"/>
    <col min="148" max="148" width="13.88671875" hidden="1" customWidth="1"/>
    <col min="149" max="149" width="15" hidden="1" customWidth="1"/>
    <col min="150" max="150" width="16.77734375" hidden="1" customWidth="1"/>
    <col min="151" max="151" width="17.88671875" hidden="1" customWidth="1"/>
    <col min="152" max="152" width="5.109375" bestFit="1" customWidth="1"/>
    <col min="154" max="154" width="10.21875" bestFit="1" customWidth="1"/>
    <col min="155" max="155" width="13.5546875" bestFit="1" customWidth="1"/>
    <col min="156" max="156" width="10.44140625" hidden="1" customWidth="1"/>
    <col min="157" max="157" width="10.6640625" hidden="1" customWidth="1"/>
    <col min="158" max="158" width="12.109375" hidden="1" customWidth="1"/>
    <col min="159" max="159" width="16" bestFit="1" customWidth="1"/>
    <col min="160" max="160" width="11.109375" bestFit="1" customWidth="1"/>
    <col min="161" max="161" width="10.6640625" bestFit="1" customWidth="1"/>
    <col min="162" max="162" width="13.77734375" bestFit="1" customWidth="1"/>
    <col min="163" max="163" width="12.33203125" bestFit="1" customWidth="1"/>
    <col min="164" max="164" width="13.77734375" bestFit="1" customWidth="1"/>
    <col min="165" max="165" width="13.88671875" hidden="1" customWidth="1"/>
    <col min="166" max="166" width="15" hidden="1" customWidth="1"/>
    <col min="167" max="167" width="16.77734375" hidden="1" customWidth="1"/>
    <col min="168" max="168" width="17.88671875" hidden="1" customWidth="1"/>
    <col min="169" max="169" width="5.109375" bestFit="1" customWidth="1"/>
  </cols>
  <sheetData>
    <row r="1" spans="1:169" s="9" customFormat="1" x14ac:dyDescent="0.3">
      <c r="A1" s="9" t="s">
        <v>93</v>
      </c>
      <c r="B1" s="66">
        <f ca="1">+I3+Z3+AQ3+BH3+BY3+CP3+DG3+DX3+EO3+FF3</f>
        <v>0</v>
      </c>
    </row>
    <row r="2" spans="1:169" s="9" customFormat="1" x14ac:dyDescent="0.3">
      <c r="A2"/>
      <c r="B2"/>
      <c r="C2"/>
      <c r="D2"/>
      <c r="E2"/>
      <c r="F2"/>
      <c r="G2"/>
      <c r="H2"/>
      <c r="I2"/>
      <c r="J2"/>
      <c r="K2"/>
      <c r="L2"/>
      <c r="M2" s="69"/>
      <c r="N2" s="69"/>
      <c r="O2" s="69"/>
      <c r="P2" s="69"/>
    </row>
    <row r="3" spans="1:169" s="9" customFormat="1" x14ac:dyDescent="0.3">
      <c r="A3" s="9" t="s">
        <v>105</v>
      </c>
      <c r="B3" s="9" t="s">
        <v>106</v>
      </c>
      <c r="F3" s="9" t="s">
        <v>107</v>
      </c>
      <c r="G3" s="67">
        <f>COUNTA(B6:B25)</f>
        <v>3</v>
      </c>
      <c r="H3" s="9" t="s">
        <v>108</v>
      </c>
      <c r="I3" s="68">
        <f ca="1">INDEX(K5:K25,G3 + 1)-(INDEX(F5:$F$25,G3+ 1) * '3.Vehicles'!E2)- IF(INDIRECT("G3") &gt; 1, INDIRECT("'3.Vehicles'!D2"), 0)</f>
        <v>0</v>
      </c>
      <c r="R3" s="9" t="s">
        <v>105</v>
      </c>
      <c r="S3" s="9" t="s">
        <v>109</v>
      </c>
      <c r="W3" s="9" t="s">
        <v>107</v>
      </c>
      <c r="X3" s="67">
        <f>COUNTA(S6:S25)</f>
        <v>6</v>
      </c>
      <c r="Y3" s="9" t="s">
        <v>108</v>
      </c>
      <c r="Z3" s="68">
        <f ca="1">INDEX(AB5:AB25,X3 + 1)-(INDEX(W5:$W$25,X3+ 1) * '3.Vehicles'!E2)- IF(INDIRECT("X3") &gt; 1, INDIRECT("'3.Vehicles'!D2"), 0)</f>
        <v>0</v>
      </c>
      <c r="AI3" s="9" t="s">
        <v>105</v>
      </c>
      <c r="AJ3" s="9" t="s">
        <v>110</v>
      </c>
      <c r="AN3" s="9" t="s">
        <v>107</v>
      </c>
      <c r="AO3" s="67">
        <f>COUNTA(AJ6:AJ25)</f>
        <v>6</v>
      </c>
      <c r="AP3" s="9" t="s">
        <v>108</v>
      </c>
      <c r="AQ3" s="68">
        <f ca="1">INDEX(AS5:AS25,AO3 + 1)-(INDEX(AN5:$AN$25,AO3+ 1) * '3.Vehicles'!E2)- IF(INDIRECT("AO3") &gt; 1, INDIRECT("'3.Vehicles'!D2"), 0)</f>
        <v>0</v>
      </c>
      <c r="AZ3" s="9" t="s">
        <v>105</v>
      </c>
      <c r="BA3" s="9" t="s">
        <v>111</v>
      </c>
      <c r="BE3" s="9" t="s">
        <v>107</v>
      </c>
      <c r="BF3" s="67">
        <f>COUNTA(BA6:BA25)</f>
        <v>4</v>
      </c>
      <c r="BG3" s="9" t="s">
        <v>108</v>
      </c>
      <c r="BH3" s="68">
        <f ca="1">INDEX(BJ5:BJ25,BF3 + 1)-(INDEX(BE5:$BE$25,BF3+ 1) * '3.Vehicles'!E2)- IF(INDIRECT("BF3") &gt; 1, INDIRECT("'3.Vehicles'!D2"), 0)</f>
        <v>0</v>
      </c>
      <c r="BQ3" s="9" t="s">
        <v>105</v>
      </c>
      <c r="BR3" s="9" t="s">
        <v>112</v>
      </c>
      <c r="BV3" s="9" t="s">
        <v>107</v>
      </c>
      <c r="BW3" s="67">
        <f>COUNTA(BR6:BR25)</f>
        <v>5</v>
      </c>
      <c r="BX3" s="9" t="s">
        <v>108</v>
      </c>
      <c r="BY3" s="68">
        <f ca="1">INDEX(CA5:CA25,BW3 + 1)-(INDEX(BV5:$BV$25,BW3+ 1) * '3.Vehicles'!E2)- IF(INDIRECT("BW3") &gt; 1, INDIRECT("'3.Vehicles'!D2"), 0)</f>
        <v>0</v>
      </c>
      <c r="CH3" s="9" t="s">
        <v>105</v>
      </c>
      <c r="CI3" s="9" t="s">
        <v>116</v>
      </c>
      <c r="CM3" s="9" t="s">
        <v>107</v>
      </c>
      <c r="CN3" s="67">
        <f>COUNTA(CI6:CI25)</f>
        <v>0</v>
      </c>
      <c r="CO3" s="9" t="s">
        <v>108</v>
      </c>
      <c r="CP3" s="68">
        <f ca="1">INDEX(CR5:CR25,CN3 + 1)-(INDEX(CM5:$CM$25,CN3+ 1) * '3.Vehicles'!E2)- IF(INDIRECT("CN3") &gt; 1, INDIRECT("'3.Vehicles'!D2"), 0)</f>
        <v>0</v>
      </c>
      <c r="CY3" s="9" t="s">
        <v>105</v>
      </c>
      <c r="CZ3" s="9" t="s">
        <v>117</v>
      </c>
      <c r="DD3" s="9" t="s">
        <v>107</v>
      </c>
      <c r="DE3" s="67">
        <f>COUNTA(CZ6:CZ25)</f>
        <v>0</v>
      </c>
      <c r="DF3" s="9" t="s">
        <v>108</v>
      </c>
      <c r="DG3" s="68">
        <f ca="1">INDEX(DI5:DI25,DE3 + 1)-(INDEX(DD5:$DD$25,DE3+ 1) * '3.Vehicles'!E2)- IF(INDIRECT("DE3") &gt; 1, INDIRECT("'3.Vehicles'!D2"), 0)</f>
        <v>0</v>
      </c>
      <c r="DP3" s="9" t="s">
        <v>105</v>
      </c>
      <c r="DQ3" s="9" t="s">
        <v>118</v>
      </c>
      <c r="DU3" s="9" t="s">
        <v>107</v>
      </c>
      <c r="DV3" s="67">
        <f>COUNTA(DQ6:DQ25)</f>
        <v>0</v>
      </c>
      <c r="DW3" s="9" t="s">
        <v>108</v>
      </c>
      <c r="DX3" s="68">
        <f ca="1">INDEX(DZ5:DZ25,DV3 + 1)-(INDEX(DU5:$DU$25,DV3+ 1) * '3.Vehicles'!E2)- IF(INDIRECT("DV3") &gt; 1, INDIRECT("'3.Vehicles'!D2"), 0)</f>
        <v>0</v>
      </c>
      <c r="EG3" s="9" t="s">
        <v>105</v>
      </c>
      <c r="EH3" s="9" t="s">
        <v>119</v>
      </c>
      <c r="EL3" s="9" t="s">
        <v>107</v>
      </c>
      <c r="EM3" s="67">
        <f>COUNTA(EH6:EH25)</f>
        <v>0</v>
      </c>
      <c r="EN3" s="9" t="s">
        <v>108</v>
      </c>
      <c r="EO3" s="68">
        <f ca="1">INDEX(EQ5:EQ25,EM3 + 1)-(INDEX(EL5:$EL$25,EM3+ 1) * '3.Vehicles'!E2)- IF(INDIRECT("EM3") &gt; 1, INDIRECT("'3.Vehicles'!D2"), 0)</f>
        <v>0</v>
      </c>
      <c r="EX3" s="9" t="s">
        <v>105</v>
      </c>
      <c r="EY3" s="9" t="s">
        <v>120</v>
      </c>
      <c r="FC3" s="9" t="s">
        <v>107</v>
      </c>
      <c r="FD3" s="67">
        <f>COUNTA(EY6:EY25)</f>
        <v>0</v>
      </c>
      <c r="FE3" s="9" t="s">
        <v>108</v>
      </c>
      <c r="FF3" s="68">
        <f ca="1">INDEX(FH5:FH25,FD3 + 1)-(INDEX(FC5:$FC$25,FD3+ 1) * '3.Vehicles'!E2)- IF(INDIRECT("FD3") &gt; 1, INDIRECT("'3.Vehicles'!D2"), 0)</f>
        <v>0</v>
      </c>
    </row>
    <row r="4" spans="1:169" s="9" customFormat="1" x14ac:dyDescent="0.3">
      <c r="A4" s="9" t="s">
        <v>94</v>
      </c>
      <c r="B4" s="9" t="s">
        <v>95</v>
      </c>
      <c r="C4" s="9" t="s">
        <v>40</v>
      </c>
      <c r="D4" s="9" t="s">
        <v>43</v>
      </c>
      <c r="E4" s="9" t="s">
        <v>44</v>
      </c>
      <c r="F4" s="9" t="s">
        <v>96</v>
      </c>
      <c r="G4" s="9" t="s">
        <v>97</v>
      </c>
      <c r="H4" s="9" t="s">
        <v>98</v>
      </c>
      <c r="I4" s="9" t="s">
        <v>99</v>
      </c>
      <c r="J4" s="9" t="s">
        <v>100</v>
      </c>
      <c r="K4" s="9" t="s">
        <v>101</v>
      </c>
      <c r="L4" s="9" t="s">
        <v>49</v>
      </c>
      <c r="M4" s="9" t="s">
        <v>50</v>
      </c>
      <c r="N4" s="9" t="s">
        <v>102</v>
      </c>
      <c r="O4" s="9" t="s">
        <v>103</v>
      </c>
      <c r="P4" s="9" t="s">
        <v>104</v>
      </c>
      <c r="R4" s="9" t="s">
        <v>94</v>
      </c>
      <c r="S4" s="9" t="s">
        <v>95</v>
      </c>
      <c r="T4" s="9" t="s">
        <v>40</v>
      </c>
      <c r="U4" s="9" t="s">
        <v>43</v>
      </c>
      <c r="V4" s="9" t="s">
        <v>44</v>
      </c>
      <c r="W4" s="9" t="s">
        <v>96</v>
      </c>
      <c r="X4" s="9" t="s">
        <v>97</v>
      </c>
      <c r="Y4" s="9" t="s">
        <v>98</v>
      </c>
      <c r="Z4" s="9" t="s">
        <v>99</v>
      </c>
      <c r="AA4" s="9" t="s">
        <v>100</v>
      </c>
      <c r="AB4" s="9" t="s">
        <v>101</v>
      </c>
      <c r="AC4" s="9" t="s">
        <v>49</v>
      </c>
      <c r="AD4" s="9" t="s">
        <v>50</v>
      </c>
      <c r="AE4" s="9" t="s">
        <v>102</v>
      </c>
      <c r="AF4" s="9" t="s">
        <v>103</v>
      </c>
      <c r="AG4" s="9" t="s">
        <v>104</v>
      </c>
      <c r="AI4" s="9" t="s">
        <v>94</v>
      </c>
      <c r="AJ4" s="9" t="s">
        <v>95</v>
      </c>
      <c r="AK4" s="9" t="s">
        <v>40</v>
      </c>
      <c r="AL4" s="9" t="s">
        <v>43</v>
      </c>
      <c r="AM4" s="9" t="s">
        <v>44</v>
      </c>
      <c r="AN4" s="9" t="s">
        <v>96</v>
      </c>
      <c r="AO4" s="9" t="s">
        <v>97</v>
      </c>
      <c r="AP4" s="9" t="s">
        <v>98</v>
      </c>
      <c r="AQ4" s="9" t="s">
        <v>99</v>
      </c>
      <c r="AR4" s="9" t="s">
        <v>100</v>
      </c>
      <c r="AS4" s="9" t="s">
        <v>101</v>
      </c>
      <c r="AT4" s="9" t="s">
        <v>49</v>
      </c>
      <c r="AU4" s="9" t="s">
        <v>50</v>
      </c>
      <c r="AV4" s="9" t="s">
        <v>102</v>
      </c>
      <c r="AW4" s="9" t="s">
        <v>103</v>
      </c>
      <c r="AX4" s="9" t="s">
        <v>104</v>
      </c>
      <c r="AZ4" s="9" t="s">
        <v>94</v>
      </c>
      <c r="BA4" s="9" t="s">
        <v>95</v>
      </c>
      <c r="BB4" s="9" t="s">
        <v>40</v>
      </c>
      <c r="BC4" s="9" t="s">
        <v>43</v>
      </c>
      <c r="BD4" s="9" t="s">
        <v>44</v>
      </c>
      <c r="BE4" s="9" t="s">
        <v>96</v>
      </c>
      <c r="BF4" s="9" t="s">
        <v>97</v>
      </c>
      <c r="BG4" s="9" t="s">
        <v>98</v>
      </c>
      <c r="BH4" s="9" t="s">
        <v>99</v>
      </c>
      <c r="BI4" s="9" t="s">
        <v>100</v>
      </c>
      <c r="BJ4" s="9" t="s">
        <v>101</v>
      </c>
      <c r="BK4" s="9" t="s">
        <v>49</v>
      </c>
      <c r="BL4" s="9" t="s">
        <v>50</v>
      </c>
      <c r="BM4" s="9" t="s">
        <v>102</v>
      </c>
      <c r="BN4" s="9" t="s">
        <v>103</v>
      </c>
      <c r="BO4" s="9" t="s">
        <v>104</v>
      </c>
      <c r="BQ4" s="9" t="s">
        <v>94</v>
      </c>
      <c r="BR4" s="9" t="s">
        <v>95</v>
      </c>
      <c r="BS4" s="9" t="s">
        <v>40</v>
      </c>
      <c r="BT4" s="9" t="s">
        <v>43</v>
      </c>
      <c r="BU4" s="9" t="s">
        <v>44</v>
      </c>
      <c r="BV4" s="9" t="s">
        <v>96</v>
      </c>
      <c r="BW4" s="9" t="s">
        <v>97</v>
      </c>
      <c r="BX4" s="9" t="s">
        <v>98</v>
      </c>
      <c r="BY4" s="9" t="s">
        <v>99</v>
      </c>
      <c r="BZ4" s="9" t="s">
        <v>100</v>
      </c>
      <c r="CA4" s="9" t="s">
        <v>101</v>
      </c>
      <c r="CB4" s="9" t="s">
        <v>49</v>
      </c>
      <c r="CC4" s="9" t="s">
        <v>50</v>
      </c>
      <c r="CD4" s="9" t="s">
        <v>102</v>
      </c>
      <c r="CE4" s="9" t="s">
        <v>103</v>
      </c>
      <c r="CF4" s="9" t="s">
        <v>104</v>
      </c>
      <c r="CH4" s="9" t="s">
        <v>94</v>
      </c>
      <c r="CI4" s="9" t="s">
        <v>95</v>
      </c>
      <c r="CJ4" s="9" t="s">
        <v>40</v>
      </c>
      <c r="CK4" s="9" t="s">
        <v>43</v>
      </c>
      <c r="CL4" s="9" t="s">
        <v>44</v>
      </c>
      <c r="CM4" s="9" t="s">
        <v>96</v>
      </c>
      <c r="CN4" s="9" t="s">
        <v>97</v>
      </c>
      <c r="CO4" s="9" t="s">
        <v>98</v>
      </c>
      <c r="CP4" s="9" t="s">
        <v>99</v>
      </c>
      <c r="CQ4" s="9" t="s">
        <v>100</v>
      </c>
      <c r="CR4" s="9" t="s">
        <v>101</v>
      </c>
      <c r="CS4" s="9" t="s">
        <v>49</v>
      </c>
      <c r="CT4" s="9" t="s">
        <v>50</v>
      </c>
      <c r="CU4" s="9" t="s">
        <v>102</v>
      </c>
      <c r="CV4" s="9" t="s">
        <v>103</v>
      </c>
      <c r="CW4" s="9" t="s">
        <v>104</v>
      </c>
      <c r="CY4" s="9" t="s">
        <v>94</v>
      </c>
      <c r="CZ4" s="9" t="s">
        <v>95</v>
      </c>
      <c r="DA4" s="9" t="s">
        <v>40</v>
      </c>
      <c r="DB4" s="9" t="s">
        <v>43</v>
      </c>
      <c r="DC4" s="9" t="s">
        <v>44</v>
      </c>
      <c r="DD4" s="9" t="s">
        <v>96</v>
      </c>
      <c r="DE4" s="9" t="s">
        <v>97</v>
      </c>
      <c r="DF4" s="9" t="s">
        <v>98</v>
      </c>
      <c r="DG4" s="9" t="s">
        <v>99</v>
      </c>
      <c r="DH4" s="9" t="s">
        <v>100</v>
      </c>
      <c r="DI4" s="9" t="s">
        <v>101</v>
      </c>
      <c r="DJ4" s="9" t="s">
        <v>49</v>
      </c>
      <c r="DK4" s="9" t="s">
        <v>50</v>
      </c>
      <c r="DL4" s="9" t="s">
        <v>102</v>
      </c>
      <c r="DM4" s="9" t="s">
        <v>103</v>
      </c>
      <c r="DN4" s="9" t="s">
        <v>104</v>
      </c>
      <c r="DP4" s="9" t="s">
        <v>94</v>
      </c>
      <c r="DQ4" s="9" t="s">
        <v>95</v>
      </c>
      <c r="DR4" s="9" t="s">
        <v>40</v>
      </c>
      <c r="DS4" s="9" t="s">
        <v>43</v>
      </c>
      <c r="DT4" s="9" t="s">
        <v>44</v>
      </c>
      <c r="DU4" s="9" t="s">
        <v>96</v>
      </c>
      <c r="DV4" s="9" t="s">
        <v>97</v>
      </c>
      <c r="DW4" s="9" t="s">
        <v>98</v>
      </c>
      <c r="DX4" s="9" t="s">
        <v>99</v>
      </c>
      <c r="DY4" s="9" t="s">
        <v>100</v>
      </c>
      <c r="DZ4" s="9" t="s">
        <v>101</v>
      </c>
      <c r="EA4" s="9" t="s">
        <v>49</v>
      </c>
      <c r="EB4" s="9" t="s">
        <v>50</v>
      </c>
      <c r="EC4" s="9" t="s">
        <v>102</v>
      </c>
      <c r="ED4" s="9" t="s">
        <v>103</v>
      </c>
      <c r="EE4" s="9" t="s">
        <v>104</v>
      </c>
      <c r="EG4" s="9" t="s">
        <v>94</v>
      </c>
      <c r="EH4" s="9" t="s">
        <v>95</v>
      </c>
      <c r="EI4" s="9" t="s">
        <v>40</v>
      </c>
      <c r="EJ4" s="9" t="s">
        <v>43</v>
      </c>
      <c r="EK4" s="9" t="s">
        <v>44</v>
      </c>
      <c r="EL4" s="9" t="s">
        <v>96</v>
      </c>
      <c r="EM4" s="9" t="s">
        <v>97</v>
      </c>
      <c r="EN4" s="9" t="s">
        <v>98</v>
      </c>
      <c r="EO4" s="9" t="s">
        <v>99</v>
      </c>
      <c r="EP4" s="9" t="s">
        <v>100</v>
      </c>
      <c r="EQ4" s="9" t="s">
        <v>101</v>
      </c>
      <c r="ER4" s="9" t="s">
        <v>49</v>
      </c>
      <c r="ES4" s="9" t="s">
        <v>50</v>
      </c>
      <c r="ET4" s="9" t="s">
        <v>102</v>
      </c>
      <c r="EU4" s="9" t="s">
        <v>103</v>
      </c>
      <c r="EV4" s="9" t="s">
        <v>104</v>
      </c>
      <c r="EX4" s="9" t="s">
        <v>94</v>
      </c>
      <c r="EY4" s="9" t="s">
        <v>95</v>
      </c>
      <c r="EZ4" s="9" t="s">
        <v>40</v>
      </c>
      <c r="FA4" s="9" t="s">
        <v>43</v>
      </c>
      <c r="FB4" s="9" t="s">
        <v>44</v>
      </c>
      <c r="FC4" s="9" t="s">
        <v>96</v>
      </c>
      <c r="FD4" s="9" t="s">
        <v>97</v>
      </c>
      <c r="FE4" s="9" t="s">
        <v>98</v>
      </c>
      <c r="FF4" s="9" t="s">
        <v>99</v>
      </c>
      <c r="FG4" s="9" t="s">
        <v>100</v>
      </c>
      <c r="FH4" s="9" t="s">
        <v>101</v>
      </c>
      <c r="FI4" s="9" t="s">
        <v>49</v>
      </c>
      <c r="FJ4" s="9" t="s">
        <v>50</v>
      </c>
      <c r="FK4" s="9" t="s">
        <v>102</v>
      </c>
      <c r="FL4" s="9" t="s">
        <v>103</v>
      </c>
      <c r="FM4" s="9" t="s">
        <v>104</v>
      </c>
    </row>
    <row r="5" spans="1:169" x14ac:dyDescent="0.3">
      <c r="A5" s="12">
        <v>0</v>
      </c>
      <c r="B5" s="12" t="str">
        <f>'1.Locations'!B2</f>
        <v>Depot</v>
      </c>
      <c r="C5" s="12">
        <f ca="1">IFERROR(MATCH(INDIRECT("B5"),'1.Locations'!B2:B21, 0) - 1," ")</f>
        <v>0</v>
      </c>
      <c r="D5" s="51">
        <f ca="1">IFERROR(IF(ISNUMBER(C5),INDEX('1.Locations'!D2:D21,C5 + 1),NA()),NA())</f>
        <v>50</v>
      </c>
      <c r="E5" s="51">
        <f ca="1">IFERROR(IF(ISNUMBER(C5),INDEX('1.Locations'!E2:E21,C5 + 1),NA()),NA())</f>
        <v>50</v>
      </c>
      <c r="F5" s="52">
        <v>0</v>
      </c>
      <c r="G5" s="53">
        <v>0</v>
      </c>
      <c r="H5" s="54"/>
      <c r="I5" s="54">
        <f>'3.Vehicles'!H2</f>
        <v>0</v>
      </c>
      <c r="J5" s="53">
        <v>0</v>
      </c>
      <c r="K5" s="51">
        <v>0</v>
      </c>
      <c r="L5" s="52">
        <v>0</v>
      </c>
      <c r="M5" s="52">
        <v>0</v>
      </c>
      <c r="N5" s="52">
        <v>0</v>
      </c>
      <c r="O5" s="52">
        <f ca="1">IFERROR(IF(ISNUMBER(C5),IF(B6 = B5, 0, IF(B6 = "", 0, O6 + M6))," ")," ")</f>
        <v>1263.3</v>
      </c>
      <c r="P5" s="51">
        <f ca="1">IFERROR(IF(ISNUMBER(C5),N5 + O5," ")," ")</f>
        <v>1263.3</v>
      </c>
      <c r="R5" s="12">
        <v>0</v>
      </c>
      <c r="S5" s="12" t="str">
        <f>'1.Locations'!B2</f>
        <v>Depot</v>
      </c>
      <c r="T5" s="12">
        <f ca="1">IFERROR(MATCH(INDIRECT("S5"),'1.Locations'!B2:B21, 0) - 1," ")</f>
        <v>0</v>
      </c>
      <c r="U5" s="51">
        <f ca="1">IFERROR(IF(ISNUMBER(T5),INDEX('1.Locations'!D2:D21,T5 + 1),NA()),NA())</f>
        <v>50</v>
      </c>
      <c r="V5" s="51">
        <f ca="1">IFERROR(IF(ISNUMBER(T5),INDEX('1.Locations'!E2:E21,T5 + 1),NA()),NA())</f>
        <v>50</v>
      </c>
      <c r="W5" s="52">
        <v>0</v>
      </c>
      <c r="X5" s="53">
        <v>0</v>
      </c>
      <c r="Y5" s="54"/>
      <c r="Z5" s="54">
        <f>'3.Vehicles'!H2</f>
        <v>0</v>
      </c>
      <c r="AA5" s="53">
        <v>0</v>
      </c>
      <c r="AB5" s="51">
        <v>0</v>
      </c>
      <c r="AC5" s="52">
        <v>0</v>
      </c>
      <c r="AD5" s="52">
        <v>0</v>
      </c>
      <c r="AE5" s="52">
        <v>0</v>
      </c>
      <c r="AF5" s="52">
        <f ca="1">IFERROR(IF(ISNUMBER(T5),IF(S6 = S5, 0, IF(S6 = "", 0, AF6 + AD6))," ")," ")</f>
        <v>1876.6</v>
      </c>
      <c r="AG5" s="51">
        <f ca="1">IFERROR(IF(ISNUMBER(T5),AE5 + AF5," ")," ")</f>
        <v>1876.6</v>
      </c>
      <c r="AI5" s="12">
        <v>0</v>
      </c>
      <c r="AJ5" s="12" t="str">
        <f>'1.Locations'!B2</f>
        <v>Depot</v>
      </c>
      <c r="AK5" s="12">
        <f ca="1">IFERROR(MATCH(INDIRECT("AJ5"),'1.Locations'!B2:B21, 0) - 1," ")</f>
        <v>0</v>
      </c>
      <c r="AL5" s="51">
        <f ca="1">IFERROR(IF(ISNUMBER(AK5),INDEX('1.Locations'!D2:D21,AK5 + 1),NA()),NA())</f>
        <v>50</v>
      </c>
      <c r="AM5" s="51">
        <f ca="1">IFERROR(IF(ISNUMBER(AK5),INDEX('1.Locations'!E2:E21,AK5 + 1),NA()),NA())</f>
        <v>50</v>
      </c>
      <c r="AN5" s="52">
        <v>0</v>
      </c>
      <c r="AO5" s="53">
        <v>0</v>
      </c>
      <c r="AP5" s="54"/>
      <c r="AQ5" s="54">
        <f>'3.Vehicles'!H2</f>
        <v>0</v>
      </c>
      <c r="AR5" s="53">
        <v>0</v>
      </c>
      <c r="AS5" s="51">
        <v>0</v>
      </c>
      <c r="AT5" s="52">
        <v>0</v>
      </c>
      <c r="AU5" s="52">
        <v>0</v>
      </c>
      <c r="AV5" s="52">
        <v>0</v>
      </c>
      <c r="AW5" s="52">
        <f ca="1">IFERROR(IF(ISNUMBER(AK5),IF(AJ6 = AJ5, 0, IF(AJ6 = "", 0, AW6 + AU6))," ")," ")</f>
        <v>1838.7000000000003</v>
      </c>
      <c r="AX5" s="51">
        <f ca="1">IFERROR(IF(ISNUMBER(AK5),AV5 + AW5," ")," ")</f>
        <v>1838.7000000000003</v>
      </c>
      <c r="AZ5" s="12">
        <v>0</v>
      </c>
      <c r="BA5" s="12" t="str">
        <f>'1.Locations'!B2</f>
        <v>Depot</v>
      </c>
      <c r="BB5" s="12">
        <f ca="1">IFERROR(MATCH(INDIRECT("BA5"),'1.Locations'!B2:B21, 0) - 1," ")</f>
        <v>0</v>
      </c>
      <c r="BC5" s="51">
        <f ca="1">IFERROR(IF(ISNUMBER(BB5),INDEX('1.Locations'!D2:D21,BB5 + 1),NA()),NA())</f>
        <v>50</v>
      </c>
      <c r="BD5" s="51">
        <f ca="1">IFERROR(IF(ISNUMBER(BB5),INDEX('1.Locations'!E2:E21,BB5 + 1),NA()),NA())</f>
        <v>50</v>
      </c>
      <c r="BE5" s="52">
        <v>0</v>
      </c>
      <c r="BF5" s="53">
        <v>0</v>
      </c>
      <c r="BG5" s="54"/>
      <c r="BH5" s="54">
        <f>'3.Vehicles'!H2</f>
        <v>0</v>
      </c>
      <c r="BI5" s="53">
        <v>0</v>
      </c>
      <c r="BJ5" s="51">
        <v>0</v>
      </c>
      <c r="BK5" s="52">
        <v>0</v>
      </c>
      <c r="BL5" s="52">
        <v>0</v>
      </c>
      <c r="BM5" s="52">
        <v>0</v>
      </c>
      <c r="BN5" s="52">
        <f ca="1">IFERROR(IF(ISNUMBER(BB5),IF(BA6 = BA5, 0, IF(BA6 = "", 0, BN6 + BL6))," ")," ")</f>
        <v>1955.5</v>
      </c>
      <c r="BO5" s="51">
        <f ca="1">IFERROR(IF(ISNUMBER(BB5),BM5 + BN5," ")," ")</f>
        <v>1955.5</v>
      </c>
      <c r="BQ5" s="12">
        <v>0</v>
      </c>
      <c r="BR5" s="12" t="str">
        <f>'1.Locations'!B2</f>
        <v>Depot</v>
      </c>
      <c r="BS5" s="12">
        <f ca="1">IFERROR(MATCH(INDIRECT("BR5"),'1.Locations'!B2:B21, 0) - 1," ")</f>
        <v>0</v>
      </c>
      <c r="BT5" s="51">
        <f ca="1">IFERROR(IF(ISNUMBER(BS5),INDEX('1.Locations'!D2:D21,BS5 + 1),NA()),NA())</f>
        <v>50</v>
      </c>
      <c r="BU5" s="51">
        <f ca="1">IFERROR(IF(ISNUMBER(BS5),INDEX('1.Locations'!E2:E21,BS5 + 1),NA()),NA())</f>
        <v>50</v>
      </c>
      <c r="BV5" s="52">
        <v>0</v>
      </c>
      <c r="BW5" s="53">
        <v>0</v>
      </c>
      <c r="BX5" s="54"/>
      <c r="BY5" s="54">
        <f>'3.Vehicles'!H2</f>
        <v>0</v>
      </c>
      <c r="BZ5" s="53">
        <v>0</v>
      </c>
      <c r="CA5" s="51">
        <v>0</v>
      </c>
      <c r="CB5" s="52">
        <v>0</v>
      </c>
      <c r="CC5" s="52">
        <v>0</v>
      </c>
      <c r="CD5" s="52">
        <v>0</v>
      </c>
      <c r="CE5" s="52">
        <f ca="1">IFERROR(IF(ISNUMBER(BS5),IF(BR6 = BR5, 0, IF(BR6 = "", 0, CE6 + CC6))," ")," ")</f>
        <v>1818.1</v>
      </c>
      <c r="CF5" s="51">
        <f ca="1">IFERROR(IF(ISNUMBER(BS5),CD5 + CE5," ")," ")</f>
        <v>1818.1</v>
      </c>
      <c r="CH5" s="12">
        <v>0</v>
      </c>
      <c r="CI5" s="12" t="str">
        <f>'1.Locations'!B2</f>
        <v>Depot</v>
      </c>
      <c r="CJ5" s="12">
        <f ca="1">IFERROR(MATCH(INDIRECT("CI5"),'1.Locations'!B2:B21, 0) - 1," ")</f>
        <v>0</v>
      </c>
      <c r="CK5" s="51">
        <f ca="1">IFERROR(IF(ISNUMBER(CJ5),INDEX('1.Locations'!D2:D21,CJ5 + 1),NA()),NA())</f>
        <v>50</v>
      </c>
      <c r="CL5" s="51">
        <f ca="1">IFERROR(IF(ISNUMBER(CJ5),INDEX('1.Locations'!E2:E21,CJ5 + 1),NA()),NA())</f>
        <v>50</v>
      </c>
      <c r="CM5" s="52">
        <v>0</v>
      </c>
      <c r="CN5" s="53">
        <v>0</v>
      </c>
      <c r="CO5" s="54"/>
      <c r="CP5" s="54">
        <f>'3.Vehicles'!H2</f>
        <v>0</v>
      </c>
      <c r="CQ5" s="53">
        <v>0</v>
      </c>
      <c r="CR5" s="51">
        <v>0</v>
      </c>
      <c r="CS5" s="52">
        <v>0</v>
      </c>
      <c r="CT5" s="52">
        <v>0</v>
      </c>
      <c r="CU5" s="52">
        <v>0</v>
      </c>
      <c r="CV5" s="52">
        <f ca="1">IFERROR(IF(ISNUMBER(CJ5),IF(CI6 = CI5, 0, IF(CI6 = "", 0, CV6 + CT6))," ")," ")</f>
        <v>0</v>
      </c>
      <c r="CW5" s="51">
        <f ca="1">IFERROR(IF(ISNUMBER(CJ5),CU5 + CV5," ")," ")</f>
        <v>0</v>
      </c>
      <c r="CY5" s="12">
        <v>0</v>
      </c>
      <c r="CZ5" s="12" t="str">
        <f>'1.Locations'!B2</f>
        <v>Depot</v>
      </c>
      <c r="DA5" s="12">
        <f ca="1">IFERROR(MATCH(INDIRECT("CZ5"),'1.Locations'!B2:B21, 0) - 1," ")</f>
        <v>0</v>
      </c>
      <c r="DB5" s="51">
        <f ca="1">IFERROR(IF(ISNUMBER(DA5),INDEX('1.Locations'!D2:D21,DA5 + 1),NA()),NA())</f>
        <v>50</v>
      </c>
      <c r="DC5" s="51">
        <f ca="1">IFERROR(IF(ISNUMBER(DA5),INDEX('1.Locations'!E2:E21,DA5 + 1),NA()),NA())</f>
        <v>50</v>
      </c>
      <c r="DD5" s="52">
        <v>0</v>
      </c>
      <c r="DE5" s="53">
        <v>0</v>
      </c>
      <c r="DF5" s="54"/>
      <c r="DG5" s="54">
        <f>'3.Vehicles'!H2</f>
        <v>0</v>
      </c>
      <c r="DH5" s="53">
        <v>0</v>
      </c>
      <c r="DI5" s="51">
        <v>0</v>
      </c>
      <c r="DJ5" s="52">
        <v>0</v>
      </c>
      <c r="DK5" s="52">
        <v>0</v>
      </c>
      <c r="DL5" s="52">
        <v>0</v>
      </c>
      <c r="DM5" s="52">
        <f ca="1">IFERROR(IF(ISNUMBER(DA5),IF(CZ6 = CZ5, 0, IF(CZ6 = "", 0, DM6 + DK6))," ")," ")</f>
        <v>0</v>
      </c>
      <c r="DN5" s="51">
        <f ca="1">IFERROR(IF(ISNUMBER(DA5),DL5 + DM5," ")," ")</f>
        <v>0</v>
      </c>
      <c r="DP5" s="12">
        <v>0</v>
      </c>
      <c r="DQ5" s="12" t="str">
        <f>'1.Locations'!B2</f>
        <v>Depot</v>
      </c>
      <c r="DR5" s="12">
        <f ca="1">IFERROR(MATCH(INDIRECT("DQ5"),'1.Locations'!B2:B21, 0) - 1," ")</f>
        <v>0</v>
      </c>
      <c r="DS5" s="51">
        <f ca="1">IFERROR(IF(ISNUMBER(DR5),INDEX('1.Locations'!D2:D21,DR5 + 1),NA()),NA())</f>
        <v>50</v>
      </c>
      <c r="DT5" s="51">
        <f ca="1">IFERROR(IF(ISNUMBER(DR5),INDEX('1.Locations'!E2:E21,DR5 + 1),NA()),NA())</f>
        <v>50</v>
      </c>
      <c r="DU5" s="52">
        <v>0</v>
      </c>
      <c r="DV5" s="53">
        <v>0</v>
      </c>
      <c r="DW5" s="54"/>
      <c r="DX5" s="54">
        <f>'3.Vehicles'!H2</f>
        <v>0</v>
      </c>
      <c r="DY5" s="53">
        <v>0</v>
      </c>
      <c r="DZ5" s="51">
        <v>0</v>
      </c>
      <c r="EA5" s="52">
        <v>0</v>
      </c>
      <c r="EB5" s="52">
        <v>0</v>
      </c>
      <c r="EC5" s="52">
        <v>0</v>
      </c>
      <c r="ED5" s="52">
        <f ca="1">IFERROR(IF(ISNUMBER(DR5),IF(DQ6 = DQ5, 0, IF(DQ6 = "", 0, ED6 + EB6))," ")," ")</f>
        <v>0</v>
      </c>
      <c r="EE5" s="51">
        <f ca="1">IFERROR(IF(ISNUMBER(DR5),EC5 + ED5," ")," ")</f>
        <v>0</v>
      </c>
      <c r="EG5" s="12">
        <v>0</v>
      </c>
      <c r="EH5" s="12" t="str">
        <f>'1.Locations'!B2</f>
        <v>Depot</v>
      </c>
      <c r="EI5" s="12">
        <f ca="1">IFERROR(MATCH(INDIRECT("EH5"),'1.Locations'!B2:B21, 0) - 1," ")</f>
        <v>0</v>
      </c>
      <c r="EJ5" s="51">
        <f ca="1">IFERROR(IF(ISNUMBER(EI5),INDEX('1.Locations'!D2:D21,EI5 + 1),NA()),NA())</f>
        <v>50</v>
      </c>
      <c r="EK5" s="51">
        <f ca="1">IFERROR(IF(ISNUMBER(EI5),INDEX('1.Locations'!E2:E21,EI5 + 1),NA()),NA())</f>
        <v>50</v>
      </c>
      <c r="EL5" s="52">
        <v>0</v>
      </c>
      <c r="EM5" s="53">
        <v>0</v>
      </c>
      <c r="EN5" s="54"/>
      <c r="EO5" s="54">
        <f>'3.Vehicles'!H2</f>
        <v>0</v>
      </c>
      <c r="EP5" s="53">
        <v>0</v>
      </c>
      <c r="EQ5" s="51">
        <v>0</v>
      </c>
      <c r="ER5" s="52">
        <v>0</v>
      </c>
      <c r="ES5" s="52">
        <v>0</v>
      </c>
      <c r="ET5" s="52">
        <v>0</v>
      </c>
      <c r="EU5" s="52">
        <f ca="1">IFERROR(IF(ISNUMBER(EI5),IF(EH6 = EH5, 0, IF(EH6 = "", 0, EU6 + ES6))," ")," ")</f>
        <v>0</v>
      </c>
      <c r="EV5" s="51">
        <f ca="1">IFERROR(IF(ISNUMBER(EI5),ET5 + EU5," ")," ")</f>
        <v>0</v>
      </c>
      <c r="EX5" s="12">
        <v>0</v>
      </c>
      <c r="EY5" s="12" t="str">
        <f>'1.Locations'!B2</f>
        <v>Depot</v>
      </c>
      <c r="EZ5" s="12">
        <f ca="1">IFERROR(MATCH(INDIRECT("EY5"),'1.Locations'!B2:B21, 0) - 1," ")</f>
        <v>0</v>
      </c>
      <c r="FA5" s="51">
        <f ca="1">IFERROR(IF(ISNUMBER(EZ5),INDEX('1.Locations'!D2:D21,EZ5 + 1),NA()),NA())</f>
        <v>50</v>
      </c>
      <c r="FB5" s="51">
        <f ca="1">IFERROR(IF(ISNUMBER(EZ5),INDEX('1.Locations'!E2:E21,EZ5 + 1),NA()),NA())</f>
        <v>50</v>
      </c>
      <c r="FC5" s="52">
        <v>0</v>
      </c>
      <c r="FD5" s="53">
        <v>0</v>
      </c>
      <c r="FE5" s="54"/>
      <c r="FF5" s="54">
        <f>'3.Vehicles'!H2</f>
        <v>0</v>
      </c>
      <c r="FG5" s="53">
        <v>0</v>
      </c>
      <c r="FH5" s="51">
        <v>0</v>
      </c>
      <c r="FI5" s="52">
        <v>0</v>
      </c>
      <c r="FJ5" s="52">
        <v>0</v>
      </c>
      <c r="FK5" s="52">
        <v>0</v>
      </c>
      <c r="FL5" s="52">
        <f ca="1">IFERROR(IF(ISNUMBER(EZ5),IF(EY6 = EY5, 0, IF(EY6 = "", 0, FL6 + FJ6))," ")," ")</f>
        <v>0</v>
      </c>
      <c r="FM5" s="51">
        <f ca="1">IFERROR(IF(ISNUMBER(EZ5),FK5 + FL5," ")," ")</f>
        <v>0</v>
      </c>
    </row>
    <row r="6" spans="1:169" x14ac:dyDescent="0.3">
      <c r="A6" s="16">
        <v>1</v>
      </c>
      <c r="B6" s="59" t="s">
        <v>69</v>
      </c>
      <c r="C6" s="60">
        <f ca="1">IFERROR(MATCH(INDIRECT("B6"),'1.Locations'!B2:B21, 0) - 1," ")</f>
        <v>15</v>
      </c>
      <c r="D6" s="60">
        <f ca="1">IFERROR(IF(ISNUMBER(C6),INDEX('1.Locations'!D2:D21,C6 + 1),NA()),NA())</f>
        <v>37.4</v>
      </c>
      <c r="E6" s="60">
        <f ca="1">IFERROR(IF(ISNUMBER(C6),INDEX('1.Locations'!E2:E21,C6 + 1),NA()),NA())</f>
        <v>35.5</v>
      </c>
      <c r="F6" s="61">
        <f ca="1">IFERROR(IF(ISNUMBER(C6),INDEX('2.Distances'!C2:C401,C5*20+C6+ 1) +F5," ")," ")</f>
        <v>19.20963300013824</v>
      </c>
      <c r="G6" s="62">
        <f ca="1">IFERROR(IF(ISNUMBER(C6),'3.Vehicles'!F2 * INDEX('2.Distances'!D2:D401,C5*20+C6 + 1) +G5," ")," ")</f>
        <v>1.1434305357225142E-2</v>
      </c>
      <c r="H6" s="63">
        <f ca="1">IFERROR(IF(ISNUMBER(C6),'3.Vehicles'!F2 * INDEX('2.Distances'!D2:D401,C5*20+C6 + 1) +I5," ")," ")</f>
        <v>1.1434305357225142E-2</v>
      </c>
      <c r="I6" s="63">
        <f ca="1">IFERROR(IF(AND(C5&lt;&gt;C6,ISNUMBER(H6)),INDEX('1.Locations'!I2:I21,C6 + 1) + MAX(H6,INDEX('1.Locations'!F2:F21,C6 + 1))," ")," ")</f>
        <v>1.1434305357225142E-2</v>
      </c>
      <c r="J6" s="62">
        <f ca="1">IFERROR(IF(AND(B6 = B5, B7 = ""), H6 - I5, I6 - I5)," ")</f>
        <v>1.1434305357225142E-2</v>
      </c>
      <c r="K6" s="60">
        <f ca="1">IFERROR(IF(ISNUMBER(C6),INDEX('1.Locations'!L2:L21,C6 + 1) + K5," ")," ")</f>
        <v>0</v>
      </c>
      <c r="L6" s="61">
        <f ca="1">IFERROR(IF(ISNUMBER(C6),INDEX('1.Locations'!J2:J21,C6 + 1)," ")," ")</f>
        <v>0</v>
      </c>
      <c r="M6" s="61">
        <f ca="1">IFERROR(IF(ISNUMBER(C6),INDEX('1.Locations'!K2:K21,C6 + 1)," ")," ")</f>
        <v>597.29999999999995</v>
      </c>
      <c r="N6" s="61">
        <f ca="1">IFERROR(IF(ISNUMBER(C6),IF(B6 = B5, 0, L6 + N5)," ")," ")</f>
        <v>0</v>
      </c>
      <c r="O6" s="61">
        <f ca="1">IFERROR(IF(ISNUMBER(C6),IF(B7 = B5, 0, IF(B7 = "", 0, O7 + M7))," ")," ")</f>
        <v>666</v>
      </c>
      <c r="P6" s="60">
        <f ca="1">IFERROR(IF(ISNUMBER(C6),N6 + O6," ")," ")</f>
        <v>666</v>
      </c>
      <c r="R6" s="16">
        <v>1</v>
      </c>
      <c r="S6" s="59" t="s">
        <v>65</v>
      </c>
      <c r="T6" s="60">
        <f ca="1">IFERROR(MATCH(INDIRECT("S6"),'1.Locations'!B2:B21, 0) - 1," ")</f>
        <v>11</v>
      </c>
      <c r="U6" s="60">
        <f ca="1">IFERROR(IF(ISNUMBER(T6),INDEX('1.Locations'!D2:D21,T6 + 1),NA()),NA())</f>
        <v>87.5</v>
      </c>
      <c r="V6" s="60">
        <f ca="1">IFERROR(IF(ISNUMBER(T6),INDEX('1.Locations'!E2:E21,T6 + 1),NA()),NA())</f>
        <v>7.3</v>
      </c>
      <c r="W6" s="61">
        <f ca="1">IFERROR(IF(ISNUMBER(T6),INDEX('2.Distances'!C2:C401,T5*20+T6+ 1) +W5," ")," ")</f>
        <v>56.82904187121229</v>
      </c>
      <c r="X6" s="62">
        <f ca="1">IFERROR(IF(ISNUMBER(T6),'3.Vehicles'!F2 * INDEX('2.Distances'!D2:D401,T5*20+T6 + 1) +X5," ")," ")</f>
        <v>3.382681063762636E-2</v>
      </c>
      <c r="Y6" s="63">
        <f ca="1">IFERROR(IF(ISNUMBER(T6),'3.Vehicles'!F2 * INDEX('2.Distances'!D2:D401,T5*20+T6 + 1) +Z5," ")," ")</f>
        <v>3.382681063762636E-2</v>
      </c>
      <c r="Z6" s="63">
        <f ca="1">IFERROR(IF(AND(T5&lt;&gt;T6,ISNUMBER(Y6)),INDEX('1.Locations'!I2:I21,T6 + 1) + MAX(Y6,INDEX('1.Locations'!F2:F21,T6 + 1))," ")," ")</f>
        <v>3.382681063762636E-2</v>
      </c>
      <c r="AA6" s="62">
        <f ca="1">IFERROR(IF(AND(S6 = S5, S7 = ""), Y6 - Z5, Z6 - Z5)," ")</f>
        <v>3.382681063762636E-2</v>
      </c>
      <c r="AB6" s="60">
        <f ca="1">IFERROR(IF(ISNUMBER(T6),INDEX('1.Locations'!L2:L21,T6 + 1) + AB5," ")," ")</f>
        <v>0</v>
      </c>
      <c r="AC6" s="61">
        <f ca="1">IFERROR(IF(ISNUMBER(T6),INDEX('1.Locations'!J2:J21,T6 + 1)," ")," ")</f>
        <v>0</v>
      </c>
      <c r="AD6" s="61">
        <f ca="1">IFERROR(IF(ISNUMBER(T6),INDEX('1.Locations'!K2:K21,T6 + 1)," ")," ")</f>
        <v>421.2</v>
      </c>
      <c r="AE6" s="61">
        <f ca="1">IFERROR(IF(ISNUMBER(T6),IF(S6 = S5, 0, AC6 + AE5)," ")," ")</f>
        <v>0</v>
      </c>
      <c r="AF6" s="61">
        <f ca="1">IFERROR(IF(ISNUMBER(T6),IF(S7 = S5, 0, IF(S7 = "", 0, AF7 + AD7))," ")," ")</f>
        <v>1455.3999999999999</v>
      </c>
      <c r="AG6" s="60">
        <f ca="1">IFERROR(IF(ISNUMBER(T6),AE6 + AF6," ")," ")</f>
        <v>1455.3999999999999</v>
      </c>
      <c r="AI6" s="16">
        <v>1</v>
      </c>
      <c r="AJ6" s="59" t="s">
        <v>67</v>
      </c>
      <c r="AK6" s="60">
        <f ca="1">IFERROR(MATCH(INDIRECT("AJ6"),'1.Locations'!B2:B21, 0) - 1," ")</f>
        <v>13</v>
      </c>
      <c r="AL6" s="60">
        <f ca="1">IFERROR(IF(ISNUMBER(AK6),INDEX('1.Locations'!D2:D21,AK6 + 1),NA()),NA())</f>
        <v>11</v>
      </c>
      <c r="AM6" s="60">
        <f ca="1">IFERROR(IF(ISNUMBER(AK6),INDEX('1.Locations'!E2:E21,AK6 + 1),NA()),NA())</f>
        <v>78.900000000000006</v>
      </c>
      <c r="AN6" s="61">
        <f ca="1">IFERROR(IF(ISNUMBER(AK6),INDEX('2.Distances'!C2:C401,AK5*20+AK6+ 1) +AN5," ")," ")</f>
        <v>48.54080757465826</v>
      </c>
      <c r="AO6" s="62">
        <f ca="1">IFERROR(IF(ISNUMBER(AK6),'3.Vehicles'!F2 * INDEX('2.Distances'!D2:D401,AK5*20+AK6 + 1) +AO5," ")," ")</f>
        <v>2.8893337842058487E-2</v>
      </c>
      <c r="AP6" s="63">
        <f ca="1">IFERROR(IF(ISNUMBER(AK6),'3.Vehicles'!F2 * INDEX('2.Distances'!D2:D401,AK5*20+AK6 + 1) +AQ5," ")," ")</f>
        <v>2.8893337842058487E-2</v>
      </c>
      <c r="AQ6" s="63">
        <f ca="1">IFERROR(IF(AND(AK5&lt;&gt;AK6,ISNUMBER(AP6)),INDEX('1.Locations'!I2:I21,AK6 + 1) + MAX(AP6,INDEX('1.Locations'!F2:F21,AK6 + 1))," ")," ")</f>
        <v>2.8893337842058487E-2</v>
      </c>
      <c r="AR6" s="62">
        <f ca="1">IFERROR(IF(AND(AJ6 = AJ5, AJ7 = ""), AP6 - AQ5, AQ6 - AQ5)," ")</f>
        <v>2.8893337842058487E-2</v>
      </c>
      <c r="AS6" s="60">
        <f ca="1">IFERROR(IF(ISNUMBER(AK6),INDEX('1.Locations'!L2:L21,AK6 + 1) + AS5," ")," ")</f>
        <v>0</v>
      </c>
      <c r="AT6" s="61">
        <f ca="1">IFERROR(IF(ISNUMBER(AK6),INDEX('1.Locations'!J2:J21,AK6 + 1)," ")," ")</f>
        <v>0</v>
      </c>
      <c r="AU6" s="61">
        <f ca="1">IFERROR(IF(ISNUMBER(AK6),INDEX('1.Locations'!K2:K21,AK6 + 1)," ")," ")</f>
        <v>389.9</v>
      </c>
      <c r="AV6" s="61">
        <f ca="1">IFERROR(IF(ISNUMBER(AK6),IF(AJ6 = AJ5, 0, AT6 + AV5)," ")," ")</f>
        <v>0</v>
      </c>
      <c r="AW6" s="61">
        <f ca="1">IFERROR(IF(ISNUMBER(AK6),IF(AJ7 = AJ5, 0, IF(AJ7 = "", 0, AW7 + AU7))," ")," ")</f>
        <v>1448.8000000000002</v>
      </c>
      <c r="AX6" s="60">
        <f ca="1">IFERROR(IF(ISNUMBER(AK6),AV6 + AW6," ")," ")</f>
        <v>1448.8000000000002</v>
      </c>
      <c r="AZ6" s="16">
        <v>1</v>
      </c>
      <c r="BA6" s="59" t="s">
        <v>71</v>
      </c>
      <c r="BB6" s="60">
        <f ca="1">IFERROR(MATCH(INDIRECT("BA6"),'1.Locations'!B2:B21, 0) - 1," ")</f>
        <v>17</v>
      </c>
      <c r="BC6" s="60">
        <f ca="1">IFERROR(IF(ISNUMBER(BB6),INDEX('1.Locations'!D2:D21,BB6 + 1),NA()),NA())</f>
        <v>33.6</v>
      </c>
      <c r="BD6" s="60">
        <f ca="1">IFERROR(IF(ISNUMBER(BB6),INDEX('1.Locations'!E2:E21,BB6 + 1),NA()),NA())</f>
        <v>87.1</v>
      </c>
      <c r="BE6" s="61">
        <f ca="1">IFERROR(IF(ISNUMBER(BB6),INDEX('2.Distances'!C2:C401,BB5*20+BB6+ 1) +BE5," ")," ")</f>
        <v>40.563160626361451</v>
      </c>
      <c r="BF6" s="62">
        <f ca="1">IFERROR(IF(ISNUMBER(BB6),'3.Vehicles'!F2 * INDEX('2.Distances'!D2:D401,BB5*20+BB6 + 1) +BF5," ")," ")</f>
        <v>2.4144738468072292E-2</v>
      </c>
      <c r="BG6" s="63">
        <f ca="1">IFERROR(IF(ISNUMBER(BB6),'3.Vehicles'!F2 * INDEX('2.Distances'!D2:D401,BB5*20+BB6 + 1) +BH5," ")," ")</f>
        <v>2.4144738468072292E-2</v>
      </c>
      <c r="BH6" s="63">
        <f ca="1">IFERROR(IF(AND(BB5&lt;&gt;BB6,ISNUMBER(BG6)),INDEX('1.Locations'!I2:I21,BB6 + 1) + MAX(BG6,INDEX('1.Locations'!F2:F21,BB6 + 1))," ")," ")</f>
        <v>2.4144738468072292E-2</v>
      </c>
      <c r="BI6" s="62">
        <f ca="1">IFERROR(IF(AND(BA6 = BA5, BA7 = ""), BG6 - BH5, BH6 - BH5)," ")</f>
        <v>2.4144738468072292E-2</v>
      </c>
      <c r="BJ6" s="60">
        <f ca="1">IFERROR(IF(ISNUMBER(BB6),INDEX('1.Locations'!L2:L21,BB6 + 1) + BJ5," ")," ")</f>
        <v>0</v>
      </c>
      <c r="BK6" s="61">
        <f ca="1">IFERROR(IF(ISNUMBER(BB6),INDEX('1.Locations'!J2:J21,BB6 + 1)," ")," ")</f>
        <v>0</v>
      </c>
      <c r="BL6" s="61">
        <f ca="1">IFERROR(IF(ISNUMBER(BB6),INDEX('1.Locations'!K2:K21,BB6 + 1)," ")," ")</f>
        <v>315.60000000000002</v>
      </c>
      <c r="BM6" s="61">
        <f ca="1">IFERROR(IF(ISNUMBER(BB6),IF(BA6 = BA5, 0, BK6 + BM5)," ")," ")</f>
        <v>0</v>
      </c>
      <c r="BN6" s="61">
        <f ca="1">IFERROR(IF(ISNUMBER(BB6),IF(BA7 = BA5, 0, IF(BA7 = "", 0, BN7 + BL7))," ")," ")</f>
        <v>1639.9</v>
      </c>
      <c r="BO6" s="60">
        <f ca="1">IFERROR(IF(ISNUMBER(BB6),BM6 + BN6," ")," ")</f>
        <v>1639.9</v>
      </c>
      <c r="BQ6" s="16">
        <v>1</v>
      </c>
      <c r="BR6" s="59" t="s">
        <v>58</v>
      </c>
      <c r="BS6" s="60">
        <f ca="1">IFERROR(MATCH(INDIRECT("BR6"),'1.Locations'!B2:B21, 0) - 1," ")</f>
        <v>4</v>
      </c>
      <c r="BT6" s="60">
        <f ca="1">IFERROR(IF(ISNUMBER(BS6),INDEX('1.Locations'!D2:D21,BS6 + 1),NA()),NA())</f>
        <v>42.7</v>
      </c>
      <c r="BU6" s="60">
        <f ca="1">IFERROR(IF(ISNUMBER(BS6),INDEX('1.Locations'!E2:E21,BS6 + 1),NA()),NA())</f>
        <v>7.3</v>
      </c>
      <c r="BV6" s="61">
        <f ca="1">IFERROR(IF(ISNUMBER(BS6),INDEX('2.Distances'!C2:C401,BS5*20+BS6+ 1) +BV5," ")," ")</f>
        <v>43.319510615887623</v>
      </c>
      <c r="BW6" s="62">
        <f ca="1">IFERROR(IF(ISNUMBER(BS6),'3.Vehicles'!F2 * INDEX('2.Distances'!D2:D401,BS5*20+BS6 + 1) +BW5," ")," ")</f>
        <v>2.5785422985647396E-2</v>
      </c>
      <c r="BX6" s="63">
        <f ca="1">IFERROR(IF(ISNUMBER(BS6),'3.Vehicles'!F2 * INDEX('2.Distances'!D2:D401,BS5*20+BS6 + 1) +BY5," ")," ")</f>
        <v>2.5785422985647396E-2</v>
      </c>
      <c r="BY6" s="63">
        <f ca="1">IFERROR(IF(AND(BS5&lt;&gt;BS6,ISNUMBER(BX6)),INDEX('1.Locations'!I2:I21,BS6 + 1) + MAX(BX6,INDEX('1.Locations'!F2:F21,BS6 + 1))," ")," ")</f>
        <v>2.5785422985647396E-2</v>
      </c>
      <c r="BZ6" s="62">
        <f ca="1">IFERROR(IF(AND(BR6 = BR5, BR7 = ""), BX6 - BY5, BY6 - BY5)," ")</f>
        <v>2.5785422985647396E-2</v>
      </c>
      <c r="CA6" s="60">
        <f ca="1">IFERROR(IF(ISNUMBER(BS6),INDEX('1.Locations'!L2:L21,BS6 + 1) + CA5," ")," ")</f>
        <v>0</v>
      </c>
      <c r="CB6" s="61">
        <f ca="1">IFERROR(IF(ISNUMBER(BS6),INDEX('1.Locations'!J2:J21,BS6 + 1)," ")," ")</f>
        <v>0</v>
      </c>
      <c r="CC6" s="61">
        <f ca="1">IFERROR(IF(ISNUMBER(BS6),INDEX('1.Locations'!K2:K21,BS6 + 1)," ")," ")</f>
        <v>33</v>
      </c>
      <c r="CD6" s="61">
        <f ca="1">IFERROR(IF(ISNUMBER(BS6),IF(BR6 = BR5, 0, CB6 + CD5)," ")," ")</f>
        <v>0</v>
      </c>
      <c r="CE6" s="61">
        <f ca="1">IFERROR(IF(ISNUMBER(BS6),IF(BR7 = BR5, 0, IF(BR7 = "", 0, CE7 + CC7))," ")," ")</f>
        <v>1785.1</v>
      </c>
      <c r="CF6" s="60">
        <f ca="1">IFERROR(IF(ISNUMBER(BS6),CD6 + CE6," ")," ")</f>
        <v>1785.1</v>
      </c>
      <c r="CH6" s="16">
        <v>1</v>
      </c>
      <c r="CI6" s="59"/>
      <c r="CJ6" s="60" t="str">
        <f ca="1">IFERROR(MATCH(INDIRECT("CI6"),'1.Locations'!B2:B21, 0) - 1," ")</f>
        <v xml:space="preserve"> </v>
      </c>
      <c r="CK6" s="60" t="e">
        <f ca="1">IFERROR(IF(ISNUMBER(CJ6),INDEX('1.Locations'!D2:D21,CJ6 + 1),NA()),NA())</f>
        <v>#N/A</v>
      </c>
      <c r="CL6" s="60" t="e">
        <f ca="1">IFERROR(IF(ISNUMBER(CJ6),INDEX('1.Locations'!E2:E21,CJ6 + 1),NA()),NA())</f>
        <v>#N/A</v>
      </c>
      <c r="CM6" s="61" t="str">
        <f ca="1">IFERROR(IF(ISNUMBER(CJ6),INDEX('2.Distances'!C2:C401,CJ5*20+CJ6+ 1) +CM5," ")," ")</f>
        <v xml:space="preserve"> </v>
      </c>
      <c r="CN6" s="62" t="str">
        <f ca="1">IFERROR(IF(ISNUMBER(CJ6),'3.Vehicles'!F2 * INDEX('2.Distances'!D2:D401,CJ5*20+CJ6 + 1) +CN5," ")," ")</f>
        <v xml:space="preserve"> </v>
      </c>
      <c r="CO6" s="63" t="str">
        <f ca="1">IFERROR(IF(ISNUMBER(CJ6),'3.Vehicles'!F2 * INDEX('2.Distances'!D2:D401,CJ5*20+CJ6 + 1) +CP5," ")," ")</f>
        <v xml:space="preserve"> </v>
      </c>
      <c r="CP6" s="63" t="str">
        <f ca="1">IFERROR(IF(AND(CJ5&lt;&gt;CJ6,ISNUMBER(CO6)),INDEX('1.Locations'!I2:I21,CJ6 + 1) + MAX(CO6,INDEX('1.Locations'!F2:F21,CJ6 + 1))," ")," ")</f>
        <v xml:space="preserve"> </v>
      </c>
      <c r="CQ6" s="62" t="str">
        <f ca="1">IFERROR(IF(AND(CI6 = CI5, CI7 = ""), CO6 - CP5, CP6 - CP5)," ")</f>
        <v xml:space="preserve"> </v>
      </c>
      <c r="CR6" s="60" t="str">
        <f ca="1">IFERROR(IF(ISNUMBER(CJ6),INDEX('1.Locations'!L2:L21,CJ6 + 1) + CR5," ")," ")</f>
        <v xml:space="preserve"> </v>
      </c>
      <c r="CS6" s="61" t="str">
        <f ca="1">IFERROR(IF(ISNUMBER(CJ6),INDEX('1.Locations'!J2:J21,CJ6 + 1)," ")," ")</f>
        <v xml:space="preserve"> </v>
      </c>
      <c r="CT6" s="61" t="str">
        <f ca="1">IFERROR(IF(ISNUMBER(CJ6),INDEX('1.Locations'!K2:K21,CJ6 + 1)," ")," ")</f>
        <v xml:space="preserve"> </v>
      </c>
      <c r="CU6" s="61" t="str">
        <f ca="1">IFERROR(IF(ISNUMBER(CJ6),IF(CI6 = CI5, 0, CS6 + CU5)," ")," ")</f>
        <v xml:space="preserve"> </v>
      </c>
      <c r="CV6" s="61" t="str">
        <f ca="1">IFERROR(IF(ISNUMBER(CJ6),IF(CI7 = CI5, 0, IF(CI7 = "", 0, CV7 + CT7))," ")," ")</f>
        <v xml:space="preserve"> </v>
      </c>
      <c r="CW6" s="60" t="str">
        <f ca="1">IFERROR(IF(ISNUMBER(CJ6),CU6 + CV6," ")," ")</f>
        <v xml:space="preserve"> </v>
      </c>
      <c r="CY6" s="16">
        <v>1</v>
      </c>
      <c r="CZ6" s="59"/>
      <c r="DA6" s="60" t="str">
        <f ca="1">IFERROR(MATCH(INDIRECT("CZ6"),'1.Locations'!B2:B21, 0) - 1," ")</f>
        <v xml:space="preserve"> </v>
      </c>
      <c r="DB6" s="60" t="e">
        <f ca="1">IFERROR(IF(ISNUMBER(DA6),INDEX('1.Locations'!D2:D21,DA6 + 1),NA()),NA())</f>
        <v>#N/A</v>
      </c>
      <c r="DC6" s="60" t="e">
        <f ca="1">IFERROR(IF(ISNUMBER(DA6),INDEX('1.Locations'!E2:E21,DA6 + 1),NA()),NA())</f>
        <v>#N/A</v>
      </c>
      <c r="DD6" s="61" t="str">
        <f ca="1">IFERROR(IF(ISNUMBER(DA6),INDEX('2.Distances'!C2:C401,DA5*20+DA6+ 1) +DD5," ")," ")</f>
        <v xml:space="preserve"> </v>
      </c>
      <c r="DE6" s="62" t="str">
        <f ca="1">IFERROR(IF(ISNUMBER(DA6),'3.Vehicles'!F2 * INDEX('2.Distances'!D2:D401,DA5*20+DA6 + 1) +DE5," ")," ")</f>
        <v xml:space="preserve"> </v>
      </c>
      <c r="DF6" s="63" t="str">
        <f ca="1">IFERROR(IF(ISNUMBER(DA6),'3.Vehicles'!F2 * INDEX('2.Distances'!D2:D401,DA5*20+DA6 + 1) +DG5," ")," ")</f>
        <v xml:space="preserve"> </v>
      </c>
      <c r="DG6" s="63" t="str">
        <f ca="1">IFERROR(IF(AND(DA5&lt;&gt;DA6,ISNUMBER(DF6)),INDEX('1.Locations'!I2:I21,DA6 + 1) + MAX(DF6,INDEX('1.Locations'!F2:F21,DA6 + 1))," ")," ")</f>
        <v xml:space="preserve"> </v>
      </c>
      <c r="DH6" s="62" t="str">
        <f ca="1">IFERROR(IF(AND(CZ6 = CZ5, CZ7 = ""), DF6 - DG5, DG6 - DG5)," ")</f>
        <v xml:space="preserve"> </v>
      </c>
      <c r="DI6" s="60" t="str">
        <f ca="1">IFERROR(IF(ISNUMBER(DA6),INDEX('1.Locations'!L2:L21,DA6 + 1) + DI5," ")," ")</f>
        <v xml:space="preserve"> </v>
      </c>
      <c r="DJ6" s="61" t="str">
        <f ca="1">IFERROR(IF(ISNUMBER(DA6),INDEX('1.Locations'!J2:J21,DA6 + 1)," ")," ")</f>
        <v xml:space="preserve"> </v>
      </c>
      <c r="DK6" s="61" t="str">
        <f ca="1">IFERROR(IF(ISNUMBER(DA6),INDEX('1.Locations'!K2:K21,DA6 + 1)," ")," ")</f>
        <v xml:space="preserve"> </v>
      </c>
      <c r="DL6" s="61" t="str">
        <f ca="1">IFERROR(IF(ISNUMBER(DA6),IF(CZ6 = CZ5, 0, DJ6 + DL5)," ")," ")</f>
        <v xml:space="preserve"> </v>
      </c>
      <c r="DM6" s="61" t="str">
        <f ca="1">IFERROR(IF(ISNUMBER(DA6),IF(CZ7 = CZ5, 0, IF(CZ7 = "", 0, DM7 + DK7))," ")," ")</f>
        <v xml:space="preserve"> </v>
      </c>
      <c r="DN6" s="60" t="str">
        <f ca="1">IFERROR(IF(ISNUMBER(DA6),DL6 + DM6," ")," ")</f>
        <v xml:space="preserve"> </v>
      </c>
      <c r="DP6" s="16">
        <v>1</v>
      </c>
      <c r="DQ6" s="59"/>
      <c r="DR6" s="60" t="str">
        <f ca="1">IFERROR(MATCH(INDIRECT("DQ6"),'1.Locations'!B2:B21, 0) - 1," ")</f>
        <v xml:space="preserve"> </v>
      </c>
      <c r="DS6" s="60" t="e">
        <f ca="1">IFERROR(IF(ISNUMBER(DR6),INDEX('1.Locations'!D2:D21,DR6 + 1),NA()),NA())</f>
        <v>#N/A</v>
      </c>
      <c r="DT6" s="60" t="e">
        <f ca="1">IFERROR(IF(ISNUMBER(DR6),INDEX('1.Locations'!E2:E21,DR6 + 1),NA()),NA())</f>
        <v>#N/A</v>
      </c>
      <c r="DU6" s="61" t="str">
        <f ca="1">IFERROR(IF(ISNUMBER(DR6),INDEX('2.Distances'!C2:C401,DR5*20+DR6+ 1) +DU5," ")," ")</f>
        <v xml:space="preserve"> </v>
      </c>
      <c r="DV6" s="62" t="str">
        <f ca="1">IFERROR(IF(ISNUMBER(DR6),'3.Vehicles'!F2 * INDEX('2.Distances'!D2:D401,DR5*20+DR6 + 1) +DV5," ")," ")</f>
        <v xml:space="preserve"> </v>
      </c>
      <c r="DW6" s="63" t="str">
        <f ca="1">IFERROR(IF(ISNUMBER(DR6),'3.Vehicles'!F2 * INDEX('2.Distances'!D2:D401,DR5*20+DR6 + 1) +DX5," ")," ")</f>
        <v xml:space="preserve"> </v>
      </c>
      <c r="DX6" s="63" t="str">
        <f ca="1">IFERROR(IF(AND(DR5&lt;&gt;DR6,ISNUMBER(DW6)),INDEX('1.Locations'!I2:I21,DR6 + 1) + MAX(DW6,INDEX('1.Locations'!F2:F21,DR6 + 1))," ")," ")</f>
        <v xml:space="preserve"> </v>
      </c>
      <c r="DY6" s="62" t="str">
        <f ca="1">IFERROR(IF(AND(DQ6 = DQ5, DQ7 = ""), DW6 - DX5, DX6 - DX5)," ")</f>
        <v xml:space="preserve"> </v>
      </c>
      <c r="DZ6" s="60" t="str">
        <f ca="1">IFERROR(IF(ISNUMBER(DR6),INDEX('1.Locations'!L2:L21,DR6 + 1) + DZ5," ")," ")</f>
        <v xml:space="preserve"> </v>
      </c>
      <c r="EA6" s="61" t="str">
        <f ca="1">IFERROR(IF(ISNUMBER(DR6),INDEX('1.Locations'!J2:J21,DR6 + 1)," ")," ")</f>
        <v xml:space="preserve"> </v>
      </c>
      <c r="EB6" s="61" t="str">
        <f ca="1">IFERROR(IF(ISNUMBER(DR6),INDEX('1.Locations'!K2:K21,DR6 + 1)," ")," ")</f>
        <v xml:space="preserve"> </v>
      </c>
      <c r="EC6" s="61" t="str">
        <f ca="1">IFERROR(IF(ISNUMBER(DR6),IF(DQ6 = DQ5, 0, EA6 + EC5)," ")," ")</f>
        <v xml:space="preserve"> </v>
      </c>
      <c r="ED6" s="61" t="str">
        <f ca="1">IFERROR(IF(ISNUMBER(DR6),IF(DQ7 = DQ5, 0, IF(DQ7 = "", 0, ED7 + EB7))," ")," ")</f>
        <v xml:space="preserve"> </v>
      </c>
      <c r="EE6" s="60" t="str">
        <f ca="1">IFERROR(IF(ISNUMBER(DR6),EC6 + ED6," ")," ")</f>
        <v xml:space="preserve"> </v>
      </c>
      <c r="EG6" s="16">
        <v>1</v>
      </c>
      <c r="EH6" s="59"/>
      <c r="EI6" s="60" t="str">
        <f ca="1">IFERROR(MATCH(INDIRECT("EH6"),'1.Locations'!B2:B21, 0) - 1," ")</f>
        <v xml:space="preserve"> </v>
      </c>
      <c r="EJ6" s="60" t="e">
        <f ca="1">IFERROR(IF(ISNUMBER(EI6),INDEX('1.Locations'!D2:D21,EI6 + 1),NA()),NA())</f>
        <v>#N/A</v>
      </c>
      <c r="EK6" s="60" t="e">
        <f ca="1">IFERROR(IF(ISNUMBER(EI6),INDEX('1.Locations'!E2:E21,EI6 + 1),NA()),NA())</f>
        <v>#N/A</v>
      </c>
      <c r="EL6" s="61" t="str">
        <f ca="1">IFERROR(IF(ISNUMBER(EI6),INDEX('2.Distances'!C2:C401,EI5*20+EI6+ 1) +EL5," ")," ")</f>
        <v xml:space="preserve"> </v>
      </c>
      <c r="EM6" s="62" t="str">
        <f ca="1">IFERROR(IF(ISNUMBER(EI6),'3.Vehicles'!F2 * INDEX('2.Distances'!D2:D401,EI5*20+EI6 + 1) +EM5," ")," ")</f>
        <v xml:space="preserve"> </v>
      </c>
      <c r="EN6" s="63" t="str">
        <f ca="1">IFERROR(IF(ISNUMBER(EI6),'3.Vehicles'!F2 * INDEX('2.Distances'!D2:D401,EI5*20+EI6 + 1) +EO5," ")," ")</f>
        <v xml:space="preserve"> </v>
      </c>
      <c r="EO6" s="63" t="str">
        <f ca="1">IFERROR(IF(AND(EI5&lt;&gt;EI6,ISNUMBER(EN6)),INDEX('1.Locations'!I2:I21,EI6 + 1) + MAX(EN6,INDEX('1.Locations'!F2:F21,EI6 + 1))," ")," ")</f>
        <v xml:space="preserve"> </v>
      </c>
      <c r="EP6" s="62" t="str">
        <f ca="1">IFERROR(IF(AND(EH6 = EH5, EH7 = ""), EN6 - EO5, EO6 - EO5)," ")</f>
        <v xml:space="preserve"> </v>
      </c>
      <c r="EQ6" s="60" t="str">
        <f ca="1">IFERROR(IF(ISNUMBER(EI6),INDEX('1.Locations'!L2:L21,EI6 + 1) + EQ5," ")," ")</f>
        <v xml:space="preserve"> </v>
      </c>
      <c r="ER6" s="61" t="str">
        <f ca="1">IFERROR(IF(ISNUMBER(EI6),INDEX('1.Locations'!J2:J21,EI6 + 1)," ")," ")</f>
        <v xml:space="preserve"> </v>
      </c>
      <c r="ES6" s="61" t="str">
        <f ca="1">IFERROR(IF(ISNUMBER(EI6),INDEX('1.Locations'!K2:K21,EI6 + 1)," ")," ")</f>
        <v xml:space="preserve"> </v>
      </c>
      <c r="ET6" s="61" t="str">
        <f ca="1">IFERROR(IF(ISNUMBER(EI6),IF(EH6 = EH5, 0, ER6 + ET5)," ")," ")</f>
        <v xml:space="preserve"> </v>
      </c>
      <c r="EU6" s="61" t="str">
        <f ca="1">IFERROR(IF(ISNUMBER(EI6),IF(EH7 = EH5, 0, IF(EH7 = "", 0, EU7 + ES7))," ")," ")</f>
        <v xml:space="preserve"> </v>
      </c>
      <c r="EV6" s="60" t="str">
        <f ca="1">IFERROR(IF(ISNUMBER(EI6),ET6 + EU6," ")," ")</f>
        <v xml:space="preserve"> </v>
      </c>
      <c r="EX6" s="16">
        <v>1</v>
      </c>
      <c r="EY6" s="59"/>
      <c r="EZ6" s="60" t="str">
        <f ca="1">IFERROR(MATCH(INDIRECT("EY6"),'1.Locations'!B2:B21, 0) - 1," ")</f>
        <v xml:space="preserve"> </v>
      </c>
      <c r="FA6" s="60" t="e">
        <f ca="1">IFERROR(IF(ISNUMBER(EZ6),INDEX('1.Locations'!D2:D21,EZ6 + 1),NA()),NA())</f>
        <v>#N/A</v>
      </c>
      <c r="FB6" s="60" t="e">
        <f ca="1">IFERROR(IF(ISNUMBER(EZ6),INDEX('1.Locations'!E2:E21,EZ6 + 1),NA()),NA())</f>
        <v>#N/A</v>
      </c>
      <c r="FC6" s="61" t="str">
        <f ca="1">IFERROR(IF(ISNUMBER(EZ6),INDEX('2.Distances'!C2:C401,EZ5*20+EZ6+ 1) +FC5," ")," ")</f>
        <v xml:space="preserve"> </v>
      </c>
      <c r="FD6" s="62" t="str">
        <f ca="1">IFERROR(IF(ISNUMBER(EZ6),'3.Vehicles'!F2 * INDEX('2.Distances'!D2:D401,EZ5*20+EZ6 + 1) +FD5," ")," ")</f>
        <v xml:space="preserve"> </v>
      </c>
      <c r="FE6" s="63" t="str">
        <f ca="1">IFERROR(IF(ISNUMBER(EZ6),'3.Vehicles'!F2 * INDEX('2.Distances'!D2:D401,EZ5*20+EZ6 + 1) +FF5," ")," ")</f>
        <v xml:space="preserve"> </v>
      </c>
      <c r="FF6" s="63" t="str">
        <f ca="1">IFERROR(IF(AND(EZ5&lt;&gt;EZ6,ISNUMBER(FE6)),INDEX('1.Locations'!I2:I21,EZ6 + 1) + MAX(FE6,INDEX('1.Locations'!F2:F21,EZ6 + 1))," ")," ")</f>
        <v xml:space="preserve"> </v>
      </c>
      <c r="FG6" s="62" t="str">
        <f ca="1">IFERROR(IF(AND(EY6 = EY5, EY7 = ""), FE6 - FF5, FF6 - FF5)," ")</f>
        <v xml:space="preserve"> </v>
      </c>
      <c r="FH6" s="60" t="str">
        <f ca="1">IFERROR(IF(ISNUMBER(EZ6),INDEX('1.Locations'!L2:L21,EZ6 + 1) + FH5," ")," ")</f>
        <v xml:space="preserve"> </v>
      </c>
      <c r="FI6" s="61" t="str">
        <f ca="1">IFERROR(IF(ISNUMBER(EZ6),INDEX('1.Locations'!J2:J21,EZ6 + 1)," ")," ")</f>
        <v xml:space="preserve"> </v>
      </c>
      <c r="FJ6" s="61" t="str">
        <f ca="1">IFERROR(IF(ISNUMBER(EZ6),INDEX('1.Locations'!K2:K21,EZ6 + 1)," ")," ")</f>
        <v xml:space="preserve"> </v>
      </c>
      <c r="FK6" s="61" t="str">
        <f ca="1">IFERROR(IF(ISNUMBER(EZ6),IF(EY6 = EY5, 0, FI6 + FK5)," ")," ")</f>
        <v xml:space="preserve"> </v>
      </c>
      <c r="FL6" s="61" t="str">
        <f ca="1">IFERROR(IF(ISNUMBER(EZ6),IF(EY7 = EY5, 0, IF(EY7 = "", 0, FL7 + FJ7))," ")," ")</f>
        <v xml:space="preserve"> </v>
      </c>
      <c r="FM6" s="60" t="str">
        <f ca="1">IFERROR(IF(ISNUMBER(EZ6),FK6 + FL6," ")," ")</f>
        <v xml:space="preserve"> </v>
      </c>
    </row>
    <row r="7" spans="1:169" x14ac:dyDescent="0.3">
      <c r="A7" s="16">
        <v>2</v>
      </c>
      <c r="B7" s="65" t="s">
        <v>63</v>
      </c>
      <c r="C7" s="60">
        <f ca="1">IFERROR(MATCH(INDIRECT("B7"),'1.Locations'!B2:B21, 0) - 1," ")</f>
        <v>9</v>
      </c>
      <c r="D7" s="60">
        <f ca="1">IFERROR(IF(ISNUMBER(C7),INDEX('1.Locations'!D2:D21,C7 + 1),NA()),NA())</f>
        <v>36.5</v>
      </c>
      <c r="E7" s="60">
        <f ca="1">IFERROR(IF(ISNUMBER(C7),INDEX('1.Locations'!E2:E21,C7 + 1),NA()),NA())</f>
        <v>44</v>
      </c>
      <c r="F7" s="61">
        <f ca="1">IFERROR(IF(ISNUMBER(C7),INDEX('2.Distances'!C2:C401,C6*20+C7+ 1) +F6," ")," ")</f>
        <v>27.757147258681478</v>
      </c>
      <c r="G7" s="62">
        <f ca="1">IFERROR(IF(ISNUMBER(C7),'3.Vehicles'!F2 * INDEX('2.Distances'!D2:D401,C6*20+C7 + 1) +G6," ")," ")</f>
        <v>1.6522111463500879E-2</v>
      </c>
      <c r="H7" s="63">
        <f ca="1">IFERROR(IF(ISNUMBER(C7),'3.Vehicles'!F2 * INDEX('2.Distances'!D2:D401,C6*20+C7 + 1) +I6," ")," ")</f>
        <v>1.6522111463500879E-2</v>
      </c>
      <c r="I7" s="63">
        <f ca="1">IFERROR(IF(AND(C5&lt;&gt;C7,ISNUMBER(H7)),INDEX('1.Locations'!I2:I21,C7 + 1) + MAX(H7,INDEX('1.Locations'!F2:F21,C7 + 1))," ")," ")</f>
        <v>1.6522111463500879E-2</v>
      </c>
      <c r="J7" s="62">
        <f ca="1">IFERROR(IF(AND(B7 = B5, B8 = ""), H7 - I5, I7 - I5)," ")</f>
        <v>1.6522111463500879E-2</v>
      </c>
      <c r="K7" s="60">
        <f ca="1">IFERROR(IF(ISNUMBER(C7),INDEX('1.Locations'!L2:L21,C7 + 1) + K6," ")," ")</f>
        <v>0</v>
      </c>
      <c r="L7" s="61">
        <f ca="1">IFERROR(IF(ISNUMBER(C7),INDEX('1.Locations'!J2:J21,C7 + 1)," ")," ")</f>
        <v>0</v>
      </c>
      <c r="M7" s="61">
        <f ca="1">IFERROR(IF(ISNUMBER(C7),INDEX('1.Locations'!K2:K21,C7 + 1)," ")," ")</f>
        <v>666</v>
      </c>
      <c r="N7" s="61">
        <f ca="1">IFERROR(IF(ISNUMBER(C7),IF(B7 = B5, 0, L7 + N6)," ")," ")</f>
        <v>0</v>
      </c>
      <c r="O7" s="61">
        <f ca="1">IFERROR(IF(ISNUMBER(C7),IF(B8 = B5, 0, IF(B8 = "", 0, O8 + M8))," ")," ")</f>
        <v>0</v>
      </c>
      <c r="P7" s="60">
        <f ca="1">IFERROR(IF(ISNUMBER(C7),N7 + O7," ")," ")</f>
        <v>0</v>
      </c>
      <c r="R7" s="16">
        <v>2</v>
      </c>
      <c r="S7" s="65" t="s">
        <v>73</v>
      </c>
      <c r="T7" s="60">
        <f ca="1">IFERROR(MATCH(INDIRECT("S7"),'1.Locations'!B2:B21, 0) - 1," ")</f>
        <v>19</v>
      </c>
      <c r="U7" s="60">
        <f ca="1">IFERROR(IF(ISNUMBER(T7),INDEX('1.Locations'!D2:D21,T7 + 1),NA()),NA())</f>
        <v>86.4</v>
      </c>
      <c r="V7" s="60">
        <f ca="1">IFERROR(IF(ISNUMBER(T7),INDEX('1.Locations'!E2:E21,T7 + 1),NA()),NA())</f>
        <v>15.1</v>
      </c>
      <c r="W7" s="61">
        <f ca="1">IFERROR(IF(ISNUMBER(T7),INDEX('2.Distances'!C2:C401,T6*20+T7+ 1) +W6," ")," ")</f>
        <v>64.70622410853548</v>
      </c>
      <c r="X7" s="62">
        <f ca="1">IFERROR(IF(ISNUMBER(T7),'3.Vehicles'!F2 * INDEX('2.Distances'!D2:D401,T6*20+T7 + 1) +X6," ")," ")</f>
        <v>3.8515609588413977E-2</v>
      </c>
      <c r="Y7" s="63">
        <f ca="1">IFERROR(IF(ISNUMBER(T7),'3.Vehicles'!F2 * INDEX('2.Distances'!D2:D401,T6*20+T7 + 1) +Z6," ")," ")</f>
        <v>3.8515609588413977E-2</v>
      </c>
      <c r="Z7" s="63">
        <f ca="1">IFERROR(IF(AND(T5&lt;&gt;T7,ISNUMBER(Y7)),INDEX('1.Locations'!I2:I21,T7 + 1) + MAX(Y7,INDEX('1.Locations'!F2:F21,T7 + 1))," ")," ")</f>
        <v>3.8515609588413977E-2</v>
      </c>
      <c r="AA7" s="62">
        <f ca="1">IFERROR(IF(AND(S7 = S5, S8 = ""), Y7 - Z5, Z7 - Z5)," ")</f>
        <v>3.8515609588413977E-2</v>
      </c>
      <c r="AB7" s="60">
        <f ca="1">IFERROR(IF(ISNUMBER(T7),INDEX('1.Locations'!L2:L21,T7 + 1) + AB6," ")," ")</f>
        <v>0</v>
      </c>
      <c r="AC7" s="61">
        <f ca="1">IFERROR(IF(ISNUMBER(T7),INDEX('1.Locations'!J2:J21,T7 + 1)," ")," ")</f>
        <v>0</v>
      </c>
      <c r="AD7" s="61">
        <f ca="1">IFERROR(IF(ISNUMBER(T7),INDEX('1.Locations'!K2:K21,T7 + 1)," ")," ")</f>
        <v>51.5</v>
      </c>
      <c r="AE7" s="61">
        <f ca="1">IFERROR(IF(ISNUMBER(T7),IF(S7 = S5, 0, AC7 + AE6)," ")," ")</f>
        <v>0</v>
      </c>
      <c r="AF7" s="61">
        <f ca="1">IFERROR(IF(ISNUMBER(T7),IF(S8 = S5, 0, IF(S8 = "", 0, AF8 + AD8))," ")," ")</f>
        <v>1403.8999999999999</v>
      </c>
      <c r="AG7" s="60">
        <f ca="1">IFERROR(IF(ISNUMBER(T7),AE7 + AF7," ")," ")</f>
        <v>1403.8999999999999</v>
      </c>
      <c r="AI7" s="16">
        <v>2</v>
      </c>
      <c r="AJ7" s="65" t="s">
        <v>57</v>
      </c>
      <c r="AK7" s="60">
        <f ca="1">IFERROR(MATCH(INDIRECT("AJ7"),'1.Locations'!B2:B21, 0) - 1," ")</f>
        <v>3</v>
      </c>
      <c r="AL7" s="60">
        <f ca="1">IFERROR(IF(ISNUMBER(AK7),INDEX('1.Locations'!D2:D21,AK7 + 1),NA()),NA())</f>
        <v>0.9</v>
      </c>
      <c r="AM7" s="60">
        <f ca="1">IFERROR(IF(ISNUMBER(AK7),INDEX('1.Locations'!E2:E21,AK7 + 1),NA()),NA())</f>
        <v>61.7</v>
      </c>
      <c r="AN7" s="61">
        <f ca="1">IFERROR(IF(ISNUMBER(AK7),INDEX('2.Distances'!C2:C401,AK6*20+AK7+ 1) +AN6," ")," ")</f>
        <v>68.486985153332327</v>
      </c>
      <c r="AO7" s="62">
        <f ca="1">IFERROR(IF(ISNUMBER(AK7),'3.Vehicles'!F2 * INDEX('2.Distances'!D2:D401,AK6*20+AK7 + 1) +AO6," ")," ")</f>
        <v>4.0766062591269241E-2</v>
      </c>
      <c r="AP7" s="63">
        <f ca="1">IFERROR(IF(ISNUMBER(AK7),'3.Vehicles'!F2 * INDEX('2.Distances'!D2:D401,AK6*20+AK7 + 1) +AQ6," ")," ")</f>
        <v>4.0766062591269241E-2</v>
      </c>
      <c r="AQ7" s="63">
        <f ca="1">IFERROR(IF(AND(AK5&lt;&gt;AK7,ISNUMBER(AP7)),INDEX('1.Locations'!I2:I21,AK7 + 1) + MAX(AP7,INDEX('1.Locations'!F2:F21,AK7 + 1))," ")," ")</f>
        <v>4.0766062591269241E-2</v>
      </c>
      <c r="AR7" s="62">
        <f ca="1">IFERROR(IF(AND(AJ7 = AJ5, AJ8 = ""), AP7 - AQ5, AQ7 - AQ5)," ")</f>
        <v>4.0766062591269241E-2</v>
      </c>
      <c r="AS7" s="60">
        <f ca="1">IFERROR(IF(ISNUMBER(AK7),INDEX('1.Locations'!L2:L21,AK7 + 1) + AS6," ")," ")</f>
        <v>0</v>
      </c>
      <c r="AT7" s="61">
        <f ca="1">IFERROR(IF(ISNUMBER(AK7),INDEX('1.Locations'!J2:J21,AK7 + 1)," ")," ")</f>
        <v>0</v>
      </c>
      <c r="AU7" s="61">
        <f ca="1">IFERROR(IF(ISNUMBER(AK7),INDEX('1.Locations'!K2:K21,AK7 + 1)," ")," ")</f>
        <v>244.4</v>
      </c>
      <c r="AV7" s="61">
        <f ca="1">IFERROR(IF(ISNUMBER(AK7),IF(AJ7 = AJ5, 0, AT7 + AV6)," ")," ")</f>
        <v>0</v>
      </c>
      <c r="AW7" s="61">
        <f ca="1">IFERROR(IF(ISNUMBER(AK7),IF(AJ8 = AJ5, 0, IF(AJ8 = "", 0, AW8 + AU8))," ")," ")</f>
        <v>1204.4000000000001</v>
      </c>
      <c r="AX7" s="60">
        <f ca="1">IFERROR(IF(ISNUMBER(AK7),AV7 + AW7," ")," ")</f>
        <v>1204.4000000000001</v>
      </c>
      <c r="AZ7" s="16">
        <v>2</v>
      </c>
      <c r="BA7" s="65" t="s">
        <v>66</v>
      </c>
      <c r="BB7" s="60">
        <f ca="1">IFERROR(MATCH(INDIRECT("BA7"),'1.Locations'!B2:B21, 0) - 1," ")</f>
        <v>12</v>
      </c>
      <c r="BC7" s="60">
        <f ca="1">IFERROR(IF(ISNUMBER(BB7),INDEX('1.Locations'!D2:D21,BB7 + 1),NA()),NA())</f>
        <v>13.6</v>
      </c>
      <c r="BD7" s="60">
        <f ca="1">IFERROR(IF(ISNUMBER(BB7),INDEX('1.Locations'!E2:E21,BB7 + 1),NA()),NA())</f>
        <v>96.5</v>
      </c>
      <c r="BE7" s="61">
        <f ca="1">IFERROR(IF(ISNUMBER(BB7),INDEX('2.Distances'!C2:C401,BB6*20+BB7+ 1) +BE6," ")," ")</f>
        <v>62.662029375688874</v>
      </c>
      <c r="BF7" s="62">
        <f ca="1">IFERROR(IF(ISNUMBER(BB7),'3.Vehicles'!F2 * INDEX('2.Distances'!D2:D401,BB6*20+BB7 + 1) +BF6," ")," ")</f>
        <v>3.7298827009338613E-2</v>
      </c>
      <c r="BG7" s="63">
        <f ca="1">IFERROR(IF(ISNUMBER(BB7),'3.Vehicles'!F2 * INDEX('2.Distances'!D2:D401,BB6*20+BB7 + 1) +BH6," ")," ")</f>
        <v>3.7298827009338613E-2</v>
      </c>
      <c r="BH7" s="63">
        <f ca="1">IFERROR(IF(AND(BB5&lt;&gt;BB7,ISNUMBER(BG7)),INDEX('1.Locations'!I2:I21,BB7 + 1) + MAX(BG7,INDEX('1.Locations'!F2:F21,BB7 + 1))," ")," ")</f>
        <v>3.7298827009338613E-2</v>
      </c>
      <c r="BI7" s="62">
        <f ca="1">IFERROR(IF(AND(BA7 = BA5, BA8 = ""), BG7 - BH5, BH7 - BH5)," ")</f>
        <v>3.7298827009338613E-2</v>
      </c>
      <c r="BJ7" s="60">
        <f ca="1">IFERROR(IF(ISNUMBER(BB7),INDEX('1.Locations'!L2:L21,BB7 + 1) + BJ6," ")," ")</f>
        <v>0</v>
      </c>
      <c r="BK7" s="61">
        <f ca="1">IFERROR(IF(ISNUMBER(BB7),INDEX('1.Locations'!J2:J21,BB7 + 1)," ")," ")</f>
        <v>0</v>
      </c>
      <c r="BL7" s="61">
        <f ca="1">IFERROR(IF(ISNUMBER(BB7),INDEX('1.Locations'!K2:K21,BB7 + 1)," ")," ")</f>
        <v>848.2</v>
      </c>
      <c r="BM7" s="61">
        <f ca="1">IFERROR(IF(ISNUMBER(BB7),IF(BA7 = BA5, 0, BK7 + BM6)," ")," ")</f>
        <v>0</v>
      </c>
      <c r="BN7" s="61">
        <f ca="1">IFERROR(IF(ISNUMBER(BB7),IF(BA8 = BA5, 0, IF(BA8 = "", 0, BN8 + BL8))," ")," ")</f>
        <v>791.7</v>
      </c>
      <c r="BO7" s="60">
        <f ca="1">IFERROR(IF(ISNUMBER(BB7),BM7 + BN7," ")," ")</f>
        <v>791.7</v>
      </c>
      <c r="BQ7" s="16">
        <v>2</v>
      </c>
      <c r="BR7" s="65" t="s">
        <v>72</v>
      </c>
      <c r="BS7" s="60">
        <f ca="1">IFERROR(MATCH(INDIRECT("BR7"),'1.Locations'!B2:B21, 0) - 1," ")</f>
        <v>18</v>
      </c>
      <c r="BT7" s="60">
        <f ca="1">IFERROR(IF(ISNUMBER(BS7),INDEX('1.Locations'!D2:D21,BS7 + 1),NA()),NA())</f>
        <v>9.1</v>
      </c>
      <c r="BU7" s="60">
        <f ca="1">IFERROR(IF(ISNUMBER(BS7),INDEX('1.Locations'!E2:E21,BS7 + 1),NA()),NA())</f>
        <v>6.3</v>
      </c>
      <c r="BV7" s="61">
        <f ca="1">IFERROR(IF(ISNUMBER(BS7),INDEX('2.Distances'!C2:C401,BS6*20+BS7+ 1) +BV6," ")," ")</f>
        <v>76.934388274448281</v>
      </c>
      <c r="BW7" s="62">
        <f ca="1">IFERROR(IF(ISNUMBER(BS7),'3.Vehicles'!F2 * INDEX('2.Distances'!D2:D401,BS6*20+BS7 + 1) +BW6," ")," ")</f>
        <v>4.5794278734790639E-2</v>
      </c>
      <c r="BX7" s="63">
        <f ca="1">IFERROR(IF(ISNUMBER(BS7),'3.Vehicles'!F2 * INDEX('2.Distances'!D2:D401,BS6*20+BS7 + 1) +BY6," ")," ")</f>
        <v>4.5794278734790639E-2</v>
      </c>
      <c r="BY7" s="63">
        <f ca="1">IFERROR(IF(AND(BS5&lt;&gt;BS7,ISNUMBER(BX7)),INDEX('1.Locations'!I2:I21,BS7 + 1) + MAX(BX7,INDEX('1.Locations'!F2:F21,BS7 + 1))," ")," ")</f>
        <v>4.5794278734790639E-2</v>
      </c>
      <c r="BZ7" s="62">
        <f ca="1">IFERROR(IF(AND(BR7 = BR5, BR8 = ""), BX7 - BY5, BY7 - BY5)," ")</f>
        <v>4.5794278734790639E-2</v>
      </c>
      <c r="CA7" s="60">
        <f ca="1">IFERROR(IF(ISNUMBER(BS7),INDEX('1.Locations'!L2:L21,BS7 + 1) + CA6," ")," ")</f>
        <v>0</v>
      </c>
      <c r="CB7" s="61">
        <f ca="1">IFERROR(IF(ISNUMBER(BS7),INDEX('1.Locations'!J2:J21,BS7 + 1)," ")," ")</f>
        <v>0</v>
      </c>
      <c r="CC7" s="61">
        <f ca="1">IFERROR(IF(ISNUMBER(BS7),INDEX('1.Locations'!K2:K21,BS7 + 1)," ")," ")</f>
        <v>743.1</v>
      </c>
      <c r="CD7" s="61">
        <f ca="1">IFERROR(IF(ISNUMBER(BS7),IF(BR7 = BR5, 0, CB7 + CD6)," ")," ")</f>
        <v>0</v>
      </c>
      <c r="CE7" s="61">
        <f ca="1">IFERROR(IF(ISNUMBER(BS7),IF(BR8 = BR5, 0, IF(BR8 = "", 0, CE8 + CC8))," ")," ")</f>
        <v>1042</v>
      </c>
      <c r="CF7" s="60">
        <f ca="1">IFERROR(IF(ISNUMBER(BS7),CD7 + CE7," ")," ")</f>
        <v>1042</v>
      </c>
      <c r="CH7" s="16">
        <v>2</v>
      </c>
      <c r="CI7" s="65"/>
      <c r="CJ7" s="60" t="str">
        <f ca="1">IFERROR(MATCH(INDIRECT("CI7"),'1.Locations'!B2:B21, 0) - 1," ")</f>
        <v xml:space="preserve"> </v>
      </c>
      <c r="CK7" s="60" t="e">
        <f ca="1">IFERROR(IF(ISNUMBER(CJ7),INDEX('1.Locations'!D2:D21,CJ7 + 1),NA()),NA())</f>
        <v>#N/A</v>
      </c>
      <c r="CL7" s="60" t="e">
        <f ca="1">IFERROR(IF(ISNUMBER(CJ7),INDEX('1.Locations'!E2:E21,CJ7 + 1),NA()),NA())</f>
        <v>#N/A</v>
      </c>
      <c r="CM7" s="61" t="str">
        <f ca="1">IFERROR(IF(ISNUMBER(CJ7),INDEX('2.Distances'!C2:C401,CJ6*20+CJ7+ 1) +CM6," ")," ")</f>
        <v xml:space="preserve"> </v>
      </c>
      <c r="CN7" s="62" t="str">
        <f ca="1">IFERROR(IF(ISNUMBER(CJ7),'3.Vehicles'!F2 * INDEX('2.Distances'!D2:D401,CJ6*20+CJ7 + 1) +CN6," ")," ")</f>
        <v xml:space="preserve"> </v>
      </c>
      <c r="CO7" s="63" t="str">
        <f ca="1">IFERROR(IF(ISNUMBER(CJ7),'3.Vehicles'!F2 * INDEX('2.Distances'!D2:D401,CJ6*20+CJ7 + 1) +CP6," ")," ")</f>
        <v xml:space="preserve"> </v>
      </c>
      <c r="CP7" s="63" t="str">
        <f ca="1">IFERROR(IF(AND(CJ5&lt;&gt;CJ7,ISNUMBER(CO7)),INDEX('1.Locations'!I2:I21,CJ7 + 1) + MAX(CO7,INDEX('1.Locations'!F2:F21,CJ7 + 1))," ")," ")</f>
        <v xml:space="preserve"> </v>
      </c>
      <c r="CQ7" s="62" t="str">
        <f ca="1">IFERROR(IF(AND(CI7 = CI5, CI8 = ""), CO7 - CP5, CP7 - CP5)," ")</f>
        <v xml:space="preserve"> </v>
      </c>
      <c r="CR7" s="60" t="str">
        <f ca="1">IFERROR(IF(ISNUMBER(CJ7),INDEX('1.Locations'!L2:L21,CJ7 + 1) + CR6," ")," ")</f>
        <v xml:space="preserve"> </v>
      </c>
      <c r="CS7" s="61" t="str">
        <f ca="1">IFERROR(IF(ISNUMBER(CJ7),INDEX('1.Locations'!J2:J21,CJ7 + 1)," ")," ")</f>
        <v xml:space="preserve"> </v>
      </c>
      <c r="CT7" s="61" t="str">
        <f ca="1">IFERROR(IF(ISNUMBER(CJ7),INDEX('1.Locations'!K2:K21,CJ7 + 1)," ")," ")</f>
        <v xml:space="preserve"> </v>
      </c>
      <c r="CU7" s="61" t="str">
        <f ca="1">IFERROR(IF(ISNUMBER(CJ7),IF(CI7 = CI5, 0, CS7 + CU6)," ")," ")</f>
        <v xml:space="preserve"> </v>
      </c>
      <c r="CV7" s="61" t="str">
        <f ca="1">IFERROR(IF(ISNUMBER(CJ7),IF(CI8 = CI5, 0, IF(CI8 = "", 0, CV8 + CT8))," ")," ")</f>
        <v xml:space="preserve"> </v>
      </c>
      <c r="CW7" s="60" t="str">
        <f ca="1">IFERROR(IF(ISNUMBER(CJ7),CU7 + CV7," ")," ")</f>
        <v xml:space="preserve"> </v>
      </c>
      <c r="CY7" s="16">
        <v>2</v>
      </c>
      <c r="CZ7" s="65"/>
      <c r="DA7" s="60" t="str">
        <f ca="1">IFERROR(MATCH(INDIRECT("CZ7"),'1.Locations'!B2:B21, 0) - 1," ")</f>
        <v xml:space="preserve"> </v>
      </c>
      <c r="DB7" s="60" t="e">
        <f ca="1">IFERROR(IF(ISNUMBER(DA7),INDEX('1.Locations'!D2:D21,DA7 + 1),NA()),NA())</f>
        <v>#N/A</v>
      </c>
      <c r="DC7" s="60" t="e">
        <f ca="1">IFERROR(IF(ISNUMBER(DA7),INDEX('1.Locations'!E2:E21,DA7 + 1),NA()),NA())</f>
        <v>#N/A</v>
      </c>
      <c r="DD7" s="61" t="str">
        <f ca="1">IFERROR(IF(ISNUMBER(DA7),INDEX('2.Distances'!C2:C401,DA6*20+DA7+ 1) +DD6," ")," ")</f>
        <v xml:space="preserve"> </v>
      </c>
      <c r="DE7" s="62" t="str">
        <f ca="1">IFERROR(IF(ISNUMBER(DA7),'3.Vehicles'!F2 * INDEX('2.Distances'!D2:D401,DA6*20+DA7 + 1) +DE6," ")," ")</f>
        <v xml:space="preserve"> </v>
      </c>
      <c r="DF7" s="63" t="str">
        <f ca="1">IFERROR(IF(ISNUMBER(DA7),'3.Vehicles'!F2 * INDEX('2.Distances'!D2:D401,DA6*20+DA7 + 1) +DG6," ")," ")</f>
        <v xml:space="preserve"> </v>
      </c>
      <c r="DG7" s="63" t="str">
        <f ca="1">IFERROR(IF(AND(DA5&lt;&gt;DA7,ISNUMBER(DF7)),INDEX('1.Locations'!I2:I21,DA7 + 1) + MAX(DF7,INDEX('1.Locations'!F2:F21,DA7 + 1))," ")," ")</f>
        <v xml:space="preserve"> </v>
      </c>
      <c r="DH7" s="62" t="str">
        <f ca="1">IFERROR(IF(AND(CZ7 = CZ5, CZ8 = ""), DF7 - DG5, DG7 - DG5)," ")</f>
        <v xml:space="preserve"> </v>
      </c>
      <c r="DI7" s="60" t="str">
        <f ca="1">IFERROR(IF(ISNUMBER(DA7),INDEX('1.Locations'!L2:L21,DA7 + 1) + DI6," ")," ")</f>
        <v xml:space="preserve"> </v>
      </c>
      <c r="DJ7" s="61" t="str">
        <f ca="1">IFERROR(IF(ISNUMBER(DA7),INDEX('1.Locations'!J2:J21,DA7 + 1)," ")," ")</f>
        <v xml:space="preserve"> </v>
      </c>
      <c r="DK7" s="61" t="str">
        <f ca="1">IFERROR(IF(ISNUMBER(DA7),INDEX('1.Locations'!K2:K21,DA7 + 1)," ")," ")</f>
        <v xml:space="preserve"> </v>
      </c>
      <c r="DL7" s="61" t="str">
        <f ca="1">IFERROR(IF(ISNUMBER(DA7),IF(CZ7 = CZ5, 0, DJ7 + DL6)," ")," ")</f>
        <v xml:space="preserve"> </v>
      </c>
      <c r="DM7" s="61" t="str">
        <f ca="1">IFERROR(IF(ISNUMBER(DA7),IF(CZ8 = CZ5, 0, IF(CZ8 = "", 0, DM8 + DK8))," ")," ")</f>
        <v xml:space="preserve"> </v>
      </c>
      <c r="DN7" s="60" t="str">
        <f ca="1">IFERROR(IF(ISNUMBER(DA7),DL7 + DM7," ")," ")</f>
        <v xml:space="preserve"> </v>
      </c>
      <c r="DP7" s="16">
        <v>2</v>
      </c>
      <c r="DQ7" s="65"/>
      <c r="DR7" s="60" t="str">
        <f ca="1">IFERROR(MATCH(INDIRECT("DQ7"),'1.Locations'!B2:B21, 0) - 1," ")</f>
        <v xml:space="preserve"> </v>
      </c>
      <c r="DS7" s="60" t="e">
        <f ca="1">IFERROR(IF(ISNUMBER(DR7),INDEX('1.Locations'!D2:D21,DR7 + 1),NA()),NA())</f>
        <v>#N/A</v>
      </c>
      <c r="DT7" s="60" t="e">
        <f ca="1">IFERROR(IF(ISNUMBER(DR7),INDEX('1.Locations'!E2:E21,DR7 + 1),NA()),NA())</f>
        <v>#N/A</v>
      </c>
      <c r="DU7" s="61" t="str">
        <f ca="1">IFERROR(IF(ISNUMBER(DR7),INDEX('2.Distances'!C2:C401,DR6*20+DR7+ 1) +DU6," ")," ")</f>
        <v xml:space="preserve"> </v>
      </c>
      <c r="DV7" s="62" t="str">
        <f ca="1">IFERROR(IF(ISNUMBER(DR7),'3.Vehicles'!F2 * INDEX('2.Distances'!D2:D401,DR6*20+DR7 + 1) +DV6," ")," ")</f>
        <v xml:space="preserve"> </v>
      </c>
      <c r="DW7" s="63" t="str">
        <f ca="1">IFERROR(IF(ISNUMBER(DR7),'3.Vehicles'!F2 * INDEX('2.Distances'!D2:D401,DR6*20+DR7 + 1) +DX6," ")," ")</f>
        <v xml:space="preserve"> </v>
      </c>
      <c r="DX7" s="63" t="str">
        <f ca="1">IFERROR(IF(AND(DR5&lt;&gt;DR7,ISNUMBER(DW7)),INDEX('1.Locations'!I2:I21,DR7 + 1) + MAX(DW7,INDEX('1.Locations'!F2:F21,DR7 + 1))," ")," ")</f>
        <v xml:space="preserve"> </v>
      </c>
      <c r="DY7" s="62" t="str">
        <f ca="1">IFERROR(IF(AND(DQ7 = DQ5, DQ8 = ""), DW7 - DX5, DX7 - DX5)," ")</f>
        <v xml:space="preserve"> </v>
      </c>
      <c r="DZ7" s="60" t="str">
        <f ca="1">IFERROR(IF(ISNUMBER(DR7),INDEX('1.Locations'!L2:L21,DR7 + 1) + DZ6," ")," ")</f>
        <v xml:space="preserve"> </v>
      </c>
      <c r="EA7" s="61" t="str">
        <f ca="1">IFERROR(IF(ISNUMBER(DR7),INDEX('1.Locations'!J2:J21,DR7 + 1)," ")," ")</f>
        <v xml:space="preserve"> </v>
      </c>
      <c r="EB7" s="61" t="str">
        <f ca="1">IFERROR(IF(ISNUMBER(DR7),INDEX('1.Locations'!K2:K21,DR7 + 1)," ")," ")</f>
        <v xml:space="preserve"> </v>
      </c>
      <c r="EC7" s="61" t="str">
        <f ca="1">IFERROR(IF(ISNUMBER(DR7),IF(DQ7 = DQ5, 0, EA7 + EC6)," ")," ")</f>
        <v xml:space="preserve"> </v>
      </c>
      <c r="ED7" s="61" t="str">
        <f ca="1">IFERROR(IF(ISNUMBER(DR7),IF(DQ8 = DQ5, 0, IF(DQ8 = "", 0, ED8 + EB8))," ")," ")</f>
        <v xml:space="preserve"> </v>
      </c>
      <c r="EE7" s="60" t="str">
        <f ca="1">IFERROR(IF(ISNUMBER(DR7),EC7 + ED7," ")," ")</f>
        <v xml:space="preserve"> </v>
      </c>
      <c r="EG7" s="16">
        <v>2</v>
      </c>
      <c r="EH7" s="65"/>
      <c r="EI7" s="60" t="str">
        <f ca="1">IFERROR(MATCH(INDIRECT("EH7"),'1.Locations'!B2:B21, 0) - 1," ")</f>
        <v xml:space="preserve"> </v>
      </c>
      <c r="EJ7" s="60" t="e">
        <f ca="1">IFERROR(IF(ISNUMBER(EI7),INDEX('1.Locations'!D2:D21,EI7 + 1),NA()),NA())</f>
        <v>#N/A</v>
      </c>
      <c r="EK7" s="60" t="e">
        <f ca="1">IFERROR(IF(ISNUMBER(EI7),INDEX('1.Locations'!E2:E21,EI7 + 1),NA()),NA())</f>
        <v>#N/A</v>
      </c>
      <c r="EL7" s="61" t="str">
        <f ca="1">IFERROR(IF(ISNUMBER(EI7),INDEX('2.Distances'!C2:C401,EI6*20+EI7+ 1) +EL6," ")," ")</f>
        <v xml:space="preserve"> </v>
      </c>
      <c r="EM7" s="62" t="str">
        <f ca="1">IFERROR(IF(ISNUMBER(EI7),'3.Vehicles'!F2 * INDEX('2.Distances'!D2:D401,EI6*20+EI7 + 1) +EM6," ")," ")</f>
        <v xml:space="preserve"> </v>
      </c>
      <c r="EN7" s="63" t="str">
        <f ca="1">IFERROR(IF(ISNUMBER(EI7),'3.Vehicles'!F2 * INDEX('2.Distances'!D2:D401,EI6*20+EI7 + 1) +EO6," ")," ")</f>
        <v xml:space="preserve"> </v>
      </c>
      <c r="EO7" s="63" t="str">
        <f ca="1">IFERROR(IF(AND(EI5&lt;&gt;EI7,ISNUMBER(EN7)),INDEX('1.Locations'!I2:I21,EI7 + 1) + MAX(EN7,INDEX('1.Locations'!F2:F21,EI7 + 1))," ")," ")</f>
        <v xml:space="preserve"> </v>
      </c>
      <c r="EP7" s="62" t="str">
        <f ca="1">IFERROR(IF(AND(EH7 = EH5, EH8 = ""), EN7 - EO5, EO7 - EO5)," ")</f>
        <v xml:space="preserve"> </v>
      </c>
      <c r="EQ7" s="60" t="str">
        <f ca="1">IFERROR(IF(ISNUMBER(EI7),INDEX('1.Locations'!L2:L21,EI7 + 1) + EQ6," ")," ")</f>
        <v xml:space="preserve"> </v>
      </c>
      <c r="ER7" s="61" t="str">
        <f ca="1">IFERROR(IF(ISNUMBER(EI7),INDEX('1.Locations'!J2:J21,EI7 + 1)," ")," ")</f>
        <v xml:space="preserve"> </v>
      </c>
      <c r="ES7" s="61" t="str">
        <f ca="1">IFERROR(IF(ISNUMBER(EI7),INDEX('1.Locations'!K2:K21,EI7 + 1)," ")," ")</f>
        <v xml:space="preserve"> </v>
      </c>
      <c r="ET7" s="61" t="str">
        <f ca="1">IFERROR(IF(ISNUMBER(EI7),IF(EH7 = EH5, 0, ER7 + ET6)," ")," ")</f>
        <v xml:space="preserve"> </v>
      </c>
      <c r="EU7" s="61" t="str">
        <f ca="1">IFERROR(IF(ISNUMBER(EI7),IF(EH8 = EH5, 0, IF(EH8 = "", 0, EU8 + ES8))," ")," ")</f>
        <v xml:space="preserve"> </v>
      </c>
      <c r="EV7" s="60" t="str">
        <f ca="1">IFERROR(IF(ISNUMBER(EI7),ET7 + EU7," ")," ")</f>
        <v xml:space="preserve"> </v>
      </c>
      <c r="EX7" s="16">
        <v>2</v>
      </c>
      <c r="EY7" s="65"/>
      <c r="EZ7" s="60" t="str">
        <f ca="1">IFERROR(MATCH(INDIRECT("EY7"),'1.Locations'!B2:B21, 0) - 1," ")</f>
        <v xml:space="preserve"> </v>
      </c>
      <c r="FA7" s="60" t="e">
        <f ca="1">IFERROR(IF(ISNUMBER(EZ7),INDEX('1.Locations'!D2:D21,EZ7 + 1),NA()),NA())</f>
        <v>#N/A</v>
      </c>
      <c r="FB7" s="60" t="e">
        <f ca="1">IFERROR(IF(ISNUMBER(EZ7),INDEX('1.Locations'!E2:E21,EZ7 + 1),NA()),NA())</f>
        <v>#N/A</v>
      </c>
      <c r="FC7" s="61" t="str">
        <f ca="1">IFERROR(IF(ISNUMBER(EZ7),INDEX('2.Distances'!C2:C401,EZ6*20+EZ7+ 1) +FC6," ")," ")</f>
        <v xml:space="preserve"> </v>
      </c>
      <c r="FD7" s="62" t="str">
        <f ca="1">IFERROR(IF(ISNUMBER(EZ7),'3.Vehicles'!F2 * INDEX('2.Distances'!D2:D401,EZ6*20+EZ7 + 1) +FD6," ")," ")</f>
        <v xml:space="preserve"> </v>
      </c>
      <c r="FE7" s="63" t="str">
        <f ca="1">IFERROR(IF(ISNUMBER(EZ7),'3.Vehicles'!F2 * INDEX('2.Distances'!D2:D401,EZ6*20+EZ7 + 1) +FF6," ")," ")</f>
        <v xml:space="preserve"> </v>
      </c>
      <c r="FF7" s="63" t="str">
        <f ca="1">IFERROR(IF(AND(EZ5&lt;&gt;EZ7,ISNUMBER(FE7)),INDEX('1.Locations'!I2:I21,EZ7 + 1) + MAX(FE7,INDEX('1.Locations'!F2:F21,EZ7 + 1))," ")," ")</f>
        <v xml:space="preserve"> </v>
      </c>
      <c r="FG7" s="62" t="str">
        <f ca="1">IFERROR(IF(AND(EY7 = EY5, EY8 = ""), FE7 - FF5, FF7 - FF5)," ")</f>
        <v xml:space="preserve"> </v>
      </c>
      <c r="FH7" s="60" t="str">
        <f ca="1">IFERROR(IF(ISNUMBER(EZ7),INDEX('1.Locations'!L2:L21,EZ7 + 1) + FH6," ")," ")</f>
        <v xml:space="preserve"> </v>
      </c>
      <c r="FI7" s="61" t="str">
        <f ca="1">IFERROR(IF(ISNUMBER(EZ7),INDEX('1.Locations'!J2:J21,EZ7 + 1)," ")," ")</f>
        <v xml:space="preserve"> </v>
      </c>
      <c r="FJ7" s="61" t="str">
        <f ca="1">IFERROR(IF(ISNUMBER(EZ7),INDEX('1.Locations'!K2:K21,EZ7 + 1)," ")," ")</f>
        <v xml:space="preserve"> </v>
      </c>
      <c r="FK7" s="61" t="str">
        <f ca="1">IFERROR(IF(ISNUMBER(EZ7),IF(EY7 = EY5, 0, FI7 + FK6)," ")," ")</f>
        <v xml:space="preserve"> </v>
      </c>
      <c r="FL7" s="61" t="str">
        <f ca="1">IFERROR(IF(ISNUMBER(EZ7),IF(EY8 = EY5, 0, IF(EY8 = "", 0, FL8 + FJ8))," ")," ")</f>
        <v xml:space="preserve"> </v>
      </c>
      <c r="FM7" s="60" t="str">
        <f ca="1">IFERROR(IF(ISNUMBER(EZ7),FK7 + FL7," ")," ")</f>
        <v xml:space="preserve"> </v>
      </c>
    </row>
    <row r="8" spans="1:169" x14ac:dyDescent="0.3">
      <c r="A8" s="16">
        <v>3</v>
      </c>
      <c r="B8" s="59" t="s">
        <v>52</v>
      </c>
      <c r="C8" s="60">
        <f ca="1">IFERROR(MATCH(INDIRECT("B8"),'1.Locations'!B2:B21, 0) - 1," ")</f>
        <v>0</v>
      </c>
      <c r="D8" s="60">
        <f ca="1">IFERROR(IF(ISNUMBER(C8),INDEX('1.Locations'!D2:D21,C8 + 1),NA()),NA())</f>
        <v>50</v>
      </c>
      <c r="E8" s="60">
        <f ca="1">IFERROR(IF(ISNUMBER(C8),INDEX('1.Locations'!E2:E21,C8 + 1),NA()),NA())</f>
        <v>50</v>
      </c>
      <c r="F8" s="61">
        <f ca="1">IFERROR(IF(ISNUMBER(C8),INDEX('2.Distances'!C2:C401,C7*20+C8+ 1) +F7," ")," ")</f>
        <v>42.530433961375635</v>
      </c>
      <c r="G8" s="62">
        <f ca="1">IFERROR(IF(ISNUMBER(C8),'3.Vehicles'!F2 * INDEX('2.Distances'!D2:D401,C7*20+C8 + 1) +G7," ")," ")</f>
        <v>2.531573450081883E-2</v>
      </c>
      <c r="H8" s="63">
        <f ca="1">IFERROR(IF(ISNUMBER(C8),'3.Vehicles'!F2 * INDEX('2.Distances'!D2:D401,C7*20+C8 + 1) +I7," ")," ")</f>
        <v>2.531573450081883E-2</v>
      </c>
      <c r="I8" s="63" t="str">
        <f ca="1">IFERROR(IF(AND(C5&lt;&gt;C8,ISNUMBER(H8)),INDEX('1.Locations'!I2:I21,C8 + 1) + MAX(H8,INDEX('1.Locations'!F2:F21,C8 + 1))," ")," ")</f>
        <v xml:space="preserve"> </v>
      </c>
      <c r="J8" s="62">
        <f ca="1">IFERROR(IF(AND(B8 = B5, B9 = ""), H8 - I5, I8 - I5)," ")</f>
        <v>2.531573450081883E-2</v>
      </c>
      <c r="K8" s="60">
        <f ca="1">IFERROR(IF(ISNUMBER(C8),INDEX('1.Locations'!L2:L21,C8 + 1) + K7," ")," ")</f>
        <v>0</v>
      </c>
      <c r="L8" s="61">
        <f ca="1">IFERROR(IF(ISNUMBER(C8),INDEX('1.Locations'!J2:J21,C8 + 1)," ")," ")</f>
        <v>0</v>
      </c>
      <c r="M8" s="61">
        <f ca="1">IFERROR(IF(ISNUMBER(C8),INDEX('1.Locations'!K2:K21,C8 + 1)," ")," ")</f>
        <v>0</v>
      </c>
      <c r="N8" s="61">
        <f ca="1">IFERROR(IF(ISNUMBER(C8),IF(B8 = B5, 0, L8 + N7)," ")," ")</f>
        <v>0</v>
      </c>
      <c r="O8" s="61">
        <f ca="1">IFERROR(IF(ISNUMBER(C8),IF(B9 = B5, 0, IF(B9 = "", 0, O9 + M9))," ")," ")</f>
        <v>0</v>
      </c>
      <c r="P8" s="60">
        <f ca="1">IFERROR(IF(ISNUMBER(C8),N8 + O8," ")," ")</f>
        <v>0</v>
      </c>
      <c r="R8" s="16">
        <v>3</v>
      </c>
      <c r="S8" s="59" t="s">
        <v>56</v>
      </c>
      <c r="T8" s="60">
        <f ca="1">IFERROR(MATCH(INDIRECT("S8"),'1.Locations'!B2:B21, 0) - 1," ")</f>
        <v>2</v>
      </c>
      <c r="U8" s="60">
        <f ca="1">IFERROR(IF(ISNUMBER(T8),INDEX('1.Locations'!D2:D21,T8 + 1),NA()),NA())</f>
        <v>76.400000000000006</v>
      </c>
      <c r="V8" s="60">
        <f ca="1">IFERROR(IF(ISNUMBER(T8),INDEX('1.Locations'!E2:E21,T8 + 1),NA()),NA())</f>
        <v>36.4</v>
      </c>
      <c r="W8" s="61">
        <f ca="1">IFERROR(IF(ISNUMBER(T8),INDEX('2.Distances'!C2:C401,T7*20+T8+ 1) +W7," ")," ")</f>
        <v>88.236842459951575</v>
      </c>
      <c r="X8" s="62">
        <f ca="1">IFERROR(IF(ISNUMBER(T8),'3.Vehicles'!F2 * INDEX('2.Distances'!D2:D401,T7*20+T8 + 1) +X7," ")," ")</f>
        <v>5.2521930035685463E-2</v>
      </c>
      <c r="Y8" s="63">
        <f ca="1">IFERROR(IF(ISNUMBER(T8),'3.Vehicles'!F2 * INDEX('2.Distances'!D2:D401,T7*20+T8 + 1) +Z7," ")," ")</f>
        <v>5.2521930035685463E-2</v>
      </c>
      <c r="Z8" s="63">
        <f ca="1">IFERROR(IF(AND(T5&lt;&gt;T8,ISNUMBER(Y8)),INDEX('1.Locations'!I2:I21,T8 + 1) + MAX(Y8,INDEX('1.Locations'!F2:F21,T8 + 1))," ")," ")</f>
        <v>5.2521930035685463E-2</v>
      </c>
      <c r="AA8" s="62">
        <f ca="1">IFERROR(IF(AND(S8 = S5, S9 = ""), Y8 - Z5, Z8 - Z5)," ")</f>
        <v>5.2521930035685463E-2</v>
      </c>
      <c r="AB8" s="60">
        <f ca="1">IFERROR(IF(ISNUMBER(T8),INDEX('1.Locations'!L2:L21,T8 + 1) + AB7," ")," ")</f>
        <v>0</v>
      </c>
      <c r="AC8" s="61">
        <f ca="1">IFERROR(IF(ISNUMBER(T8),INDEX('1.Locations'!J2:J21,T8 + 1)," ")," ")</f>
        <v>0</v>
      </c>
      <c r="AD8" s="61">
        <f ca="1">IFERROR(IF(ISNUMBER(T8),INDEX('1.Locations'!K2:K21,T8 + 1)," ")," ")</f>
        <v>709.8</v>
      </c>
      <c r="AE8" s="61">
        <f ca="1">IFERROR(IF(ISNUMBER(T8),IF(S8 = S5, 0, AC8 + AE7)," ")," ")</f>
        <v>0</v>
      </c>
      <c r="AF8" s="61">
        <f ca="1">IFERROR(IF(ISNUMBER(T8),IF(S9 = S5, 0, IF(S9 = "", 0, AF9 + AD9))," ")," ")</f>
        <v>694.09999999999991</v>
      </c>
      <c r="AG8" s="60">
        <f ca="1">IFERROR(IF(ISNUMBER(T8),AE8 + AF8," ")," ")</f>
        <v>694.09999999999991</v>
      </c>
      <c r="AI8" s="16">
        <v>3</v>
      </c>
      <c r="AJ8" s="59" t="s">
        <v>64</v>
      </c>
      <c r="AK8" s="60">
        <f ca="1">IFERROR(MATCH(INDIRECT("AJ8"),'1.Locations'!B2:B21, 0) - 1," ")</f>
        <v>10</v>
      </c>
      <c r="AL8" s="60">
        <f ca="1">IFERROR(IF(ISNUMBER(AK8),INDEX('1.Locations'!D2:D21,AK8 + 1),NA()),NA())</f>
        <v>1.8</v>
      </c>
      <c r="AM8" s="60">
        <f ca="1">IFERROR(IF(ISNUMBER(AK8),INDEX('1.Locations'!E2:E21,AK8 + 1),NA()),NA())</f>
        <v>60.9</v>
      </c>
      <c r="AN8" s="61">
        <f ca="1">IFERROR(IF(ISNUMBER(AK8),INDEX('2.Distances'!C2:C401,AK7*20+AK8+ 1) +AN7," ")," ")</f>
        <v>69.691144611211556</v>
      </c>
      <c r="AO8" s="62">
        <f ca="1">IFERROR(IF(ISNUMBER(AK8),'3.Vehicles'!F2 * INDEX('2.Distances'!D2:D401,AK7*20+AK8 + 1) +AO7," ")," ")</f>
        <v>4.1482824173340212E-2</v>
      </c>
      <c r="AP8" s="63">
        <f ca="1">IFERROR(IF(ISNUMBER(AK8),'3.Vehicles'!F2 * INDEX('2.Distances'!D2:D401,AK7*20+AK8 + 1) +AQ7," ")," ")</f>
        <v>4.1482824173340212E-2</v>
      </c>
      <c r="AQ8" s="63">
        <f ca="1">IFERROR(IF(AND(AK5&lt;&gt;AK8,ISNUMBER(AP8)),INDEX('1.Locations'!I2:I21,AK8 + 1) + MAX(AP8,INDEX('1.Locations'!F2:F21,AK8 + 1))," ")," ")</f>
        <v>4.1482824173340212E-2</v>
      </c>
      <c r="AR8" s="62">
        <f ca="1">IFERROR(IF(AND(AJ8 = AJ5, AJ9 = ""), AP8 - AQ5, AQ8 - AQ5)," ")</f>
        <v>4.1482824173340212E-2</v>
      </c>
      <c r="AS8" s="60">
        <f ca="1">IFERROR(IF(ISNUMBER(AK8),INDEX('1.Locations'!L2:L21,AK8 + 1) + AS7," ")," ")</f>
        <v>0</v>
      </c>
      <c r="AT8" s="61">
        <f ca="1">IFERROR(IF(ISNUMBER(AK8),INDEX('1.Locations'!J2:J21,AK8 + 1)," ")," ")</f>
        <v>0</v>
      </c>
      <c r="AU8" s="61">
        <f ca="1">IFERROR(IF(ISNUMBER(AK8),INDEX('1.Locations'!K2:K21,AK8 + 1)," ")," ")</f>
        <v>397.6</v>
      </c>
      <c r="AV8" s="61">
        <f ca="1">IFERROR(IF(ISNUMBER(AK8),IF(AJ8 = AJ5, 0, AT8 + AV7)," ")," ")</f>
        <v>0</v>
      </c>
      <c r="AW8" s="61">
        <f ca="1">IFERROR(IF(ISNUMBER(AK8),IF(AJ9 = AJ5, 0, IF(AJ9 = "", 0, AW9 + AU9))," ")," ")</f>
        <v>806.80000000000007</v>
      </c>
      <c r="AX8" s="60">
        <f ca="1">IFERROR(IF(ISNUMBER(AK8),AV8 + AW8," ")," ")</f>
        <v>806.80000000000007</v>
      </c>
      <c r="AZ8" s="16">
        <v>3</v>
      </c>
      <c r="BA8" s="59" t="s">
        <v>62</v>
      </c>
      <c r="BB8" s="60">
        <f ca="1">IFERROR(MATCH(INDIRECT("BA8"),'1.Locations'!B2:B21, 0) - 1," ")</f>
        <v>8</v>
      </c>
      <c r="BC8" s="60">
        <f ca="1">IFERROR(IF(ISNUMBER(BB8),INDEX('1.Locations'!D2:D21,BB8 + 1),NA()),NA())</f>
        <v>13.6</v>
      </c>
      <c r="BD8" s="60">
        <f ca="1">IFERROR(IF(ISNUMBER(BB8),INDEX('1.Locations'!E2:E21,BB8 + 1),NA()),NA())</f>
        <v>93</v>
      </c>
      <c r="BE8" s="61">
        <f ca="1">IFERROR(IF(ISNUMBER(BB8),INDEX('2.Distances'!C2:C401,BB7*20+BB8+ 1) +BE7," ")," ")</f>
        <v>66.162029375688874</v>
      </c>
      <c r="BF8" s="62">
        <f ca="1">IFERROR(IF(ISNUMBER(BB8),'3.Vehicles'!F2 * INDEX('2.Distances'!D2:D401,BB7*20+BB8 + 1) +BF7," ")," ")</f>
        <v>3.9382160342671946E-2</v>
      </c>
      <c r="BG8" s="63">
        <f ca="1">IFERROR(IF(ISNUMBER(BB8),'3.Vehicles'!F2 * INDEX('2.Distances'!D2:D401,BB7*20+BB8 + 1) +BH7," ")," ")</f>
        <v>3.9382160342671946E-2</v>
      </c>
      <c r="BH8" s="63">
        <f ca="1">IFERROR(IF(AND(BB5&lt;&gt;BB8,ISNUMBER(BG8)),INDEX('1.Locations'!I2:I21,BB8 + 1) + MAX(BG8,INDEX('1.Locations'!F2:F21,BB8 + 1))," ")," ")</f>
        <v>3.9382160342671946E-2</v>
      </c>
      <c r="BI8" s="62">
        <f ca="1">IFERROR(IF(AND(BA8 = BA5, BA9 = ""), BG8 - BH5, BH8 - BH5)," ")</f>
        <v>3.9382160342671946E-2</v>
      </c>
      <c r="BJ8" s="60">
        <f ca="1">IFERROR(IF(ISNUMBER(BB8),INDEX('1.Locations'!L2:L21,BB8 + 1) + BJ7," ")," ")</f>
        <v>0</v>
      </c>
      <c r="BK8" s="61">
        <f ca="1">IFERROR(IF(ISNUMBER(BB8),INDEX('1.Locations'!J2:J21,BB8 + 1)," ")," ")</f>
        <v>0</v>
      </c>
      <c r="BL8" s="61">
        <f ca="1">IFERROR(IF(ISNUMBER(BB8),INDEX('1.Locations'!K2:K21,BB8 + 1)," ")," ")</f>
        <v>791.7</v>
      </c>
      <c r="BM8" s="61">
        <f ca="1">IFERROR(IF(ISNUMBER(BB8),IF(BA8 = BA5, 0, BK8 + BM7)," ")," ")</f>
        <v>0</v>
      </c>
      <c r="BN8" s="61">
        <f ca="1">IFERROR(IF(ISNUMBER(BB8),IF(BA9 = BA5, 0, IF(BA9 = "", 0, BN9 + BL9))," ")," ")</f>
        <v>0</v>
      </c>
      <c r="BO8" s="60">
        <f ca="1">IFERROR(IF(ISNUMBER(BB8),BM8 + BN8," ")," ")</f>
        <v>0</v>
      </c>
      <c r="BQ8" s="16">
        <v>3</v>
      </c>
      <c r="BR8" s="59" t="s">
        <v>61</v>
      </c>
      <c r="BS8" s="60">
        <f ca="1">IFERROR(MATCH(INDIRECT("BR8"),'1.Locations'!B2:B21, 0) - 1," ")</f>
        <v>7</v>
      </c>
      <c r="BT8" s="60">
        <f ca="1">IFERROR(IF(ISNUMBER(BS8),INDEX('1.Locations'!D2:D21,BS8 + 1),NA()),NA())</f>
        <v>5.3</v>
      </c>
      <c r="BU8" s="60">
        <f ca="1">IFERROR(IF(ISNUMBER(BS8),INDEX('1.Locations'!E2:E21,BS8 + 1),NA()),NA())</f>
        <v>10.4</v>
      </c>
      <c r="BV8" s="61">
        <f ca="1">IFERROR(IF(ISNUMBER(BS8),INDEX('2.Distances'!C2:C401,BS7*20+BS8+ 1) +BV7," ")," ")</f>
        <v>82.524558218197754</v>
      </c>
      <c r="BW8" s="62">
        <f ca="1">IFERROR(IF(ISNUMBER(BS8),'3.Vehicles'!F2 * INDEX('2.Distances'!D2:D401,BS7*20+BS8 + 1) +BW7," ")," ")</f>
        <v>4.9121760844165328E-2</v>
      </c>
      <c r="BX8" s="63">
        <f ca="1">IFERROR(IF(ISNUMBER(BS8),'3.Vehicles'!F2 * INDEX('2.Distances'!D2:D401,BS7*20+BS8 + 1) +BY7," ")," ")</f>
        <v>4.9121760844165328E-2</v>
      </c>
      <c r="BY8" s="63">
        <f ca="1">IFERROR(IF(AND(BS5&lt;&gt;BS8,ISNUMBER(BX8)),INDEX('1.Locations'!I2:I21,BS8 + 1) + MAX(BX8,INDEX('1.Locations'!F2:F21,BS8 + 1))," ")," ")</f>
        <v>4.9121760844165328E-2</v>
      </c>
      <c r="BZ8" s="62">
        <f ca="1">IFERROR(IF(AND(BR8 = BR5, BR9 = ""), BX8 - BY5, BY8 - BY5)," ")</f>
        <v>4.9121760844165328E-2</v>
      </c>
      <c r="CA8" s="60">
        <f ca="1">IFERROR(IF(ISNUMBER(BS8),INDEX('1.Locations'!L2:L21,BS8 + 1) + CA7," ")," ")</f>
        <v>0</v>
      </c>
      <c r="CB8" s="61">
        <f ca="1">IFERROR(IF(ISNUMBER(BS8),INDEX('1.Locations'!J2:J21,BS8 + 1)," ")," ")</f>
        <v>0</v>
      </c>
      <c r="CC8" s="61">
        <f ca="1">IFERROR(IF(ISNUMBER(BS8),INDEX('1.Locations'!K2:K21,BS8 + 1)," ")," ")</f>
        <v>801.9</v>
      </c>
      <c r="CD8" s="61">
        <f ca="1">IFERROR(IF(ISNUMBER(BS8),IF(BR8 = BR5, 0, CB8 + CD7)," ")," ")</f>
        <v>0</v>
      </c>
      <c r="CE8" s="61">
        <f ca="1">IFERROR(IF(ISNUMBER(BS8),IF(BR9 = BR5, 0, IF(BR9 = "", 0, CE9 + CC9))," ")," ")</f>
        <v>240.1</v>
      </c>
      <c r="CF8" s="60">
        <f ca="1">IFERROR(IF(ISNUMBER(BS8),CD8 + CE8," ")," ")</f>
        <v>240.1</v>
      </c>
      <c r="CH8" s="16">
        <v>3</v>
      </c>
      <c r="CI8" s="59"/>
      <c r="CJ8" s="60" t="str">
        <f ca="1">IFERROR(MATCH(INDIRECT("CI8"),'1.Locations'!B2:B21, 0) - 1," ")</f>
        <v xml:space="preserve"> </v>
      </c>
      <c r="CK8" s="60" t="e">
        <f ca="1">IFERROR(IF(ISNUMBER(CJ8),INDEX('1.Locations'!D2:D21,CJ8 + 1),NA()),NA())</f>
        <v>#N/A</v>
      </c>
      <c r="CL8" s="60" t="e">
        <f ca="1">IFERROR(IF(ISNUMBER(CJ8),INDEX('1.Locations'!E2:E21,CJ8 + 1),NA()),NA())</f>
        <v>#N/A</v>
      </c>
      <c r="CM8" s="61" t="str">
        <f ca="1">IFERROR(IF(ISNUMBER(CJ8),INDEX('2.Distances'!C2:C401,CJ7*20+CJ8+ 1) +CM7," ")," ")</f>
        <v xml:space="preserve"> </v>
      </c>
      <c r="CN8" s="62" t="str">
        <f ca="1">IFERROR(IF(ISNUMBER(CJ8),'3.Vehicles'!F2 * INDEX('2.Distances'!D2:D401,CJ7*20+CJ8 + 1) +CN7," ")," ")</f>
        <v xml:space="preserve"> </v>
      </c>
      <c r="CO8" s="63" t="str">
        <f ca="1">IFERROR(IF(ISNUMBER(CJ8),'3.Vehicles'!F2 * INDEX('2.Distances'!D2:D401,CJ7*20+CJ8 + 1) +CP7," ")," ")</f>
        <v xml:space="preserve"> </v>
      </c>
      <c r="CP8" s="63" t="str">
        <f ca="1">IFERROR(IF(AND(CJ5&lt;&gt;CJ8,ISNUMBER(CO8)),INDEX('1.Locations'!I2:I21,CJ8 + 1) + MAX(CO8,INDEX('1.Locations'!F2:F21,CJ8 + 1))," ")," ")</f>
        <v xml:space="preserve"> </v>
      </c>
      <c r="CQ8" s="62" t="str">
        <f ca="1">IFERROR(IF(AND(CI8 = CI5, CI9 = ""), CO8 - CP5, CP8 - CP5)," ")</f>
        <v xml:space="preserve"> </v>
      </c>
      <c r="CR8" s="60" t="str">
        <f ca="1">IFERROR(IF(ISNUMBER(CJ8),INDEX('1.Locations'!L2:L21,CJ8 + 1) + CR7," ")," ")</f>
        <v xml:space="preserve"> </v>
      </c>
      <c r="CS8" s="61" t="str">
        <f ca="1">IFERROR(IF(ISNUMBER(CJ8),INDEX('1.Locations'!J2:J21,CJ8 + 1)," ")," ")</f>
        <v xml:space="preserve"> </v>
      </c>
      <c r="CT8" s="61" t="str">
        <f ca="1">IFERROR(IF(ISNUMBER(CJ8),INDEX('1.Locations'!K2:K21,CJ8 + 1)," ")," ")</f>
        <v xml:space="preserve"> </v>
      </c>
      <c r="CU8" s="61" t="str">
        <f ca="1">IFERROR(IF(ISNUMBER(CJ8),IF(CI8 = CI5, 0, CS8 + CU7)," ")," ")</f>
        <v xml:space="preserve"> </v>
      </c>
      <c r="CV8" s="61" t="str">
        <f ca="1">IFERROR(IF(ISNUMBER(CJ8),IF(CI9 = CI5, 0, IF(CI9 = "", 0, CV9 + CT9))," ")," ")</f>
        <v xml:space="preserve"> </v>
      </c>
      <c r="CW8" s="60" t="str">
        <f ca="1">IFERROR(IF(ISNUMBER(CJ8),CU8 + CV8," ")," ")</f>
        <v xml:space="preserve"> </v>
      </c>
      <c r="CY8" s="16">
        <v>3</v>
      </c>
      <c r="CZ8" s="59"/>
      <c r="DA8" s="60" t="str">
        <f ca="1">IFERROR(MATCH(INDIRECT("CZ8"),'1.Locations'!B2:B21, 0) - 1," ")</f>
        <v xml:space="preserve"> </v>
      </c>
      <c r="DB8" s="60" t="e">
        <f ca="1">IFERROR(IF(ISNUMBER(DA8),INDEX('1.Locations'!D2:D21,DA8 + 1),NA()),NA())</f>
        <v>#N/A</v>
      </c>
      <c r="DC8" s="60" t="e">
        <f ca="1">IFERROR(IF(ISNUMBER(DA8),INDEX('1.Locations'!E2:E21,DA8 + 1),NA()),NA())</f>
        <v>#N/A</v>
      </c>
      <c r="DD8" s="61" t="str">
        <f ca="1">IFERROR(IF(ISNUMBER(DA8),INDEX('2.Distances'!C2:C401,DA7*20+DA8+ 1) +DD7," ")," ")</f>
        <v xml:space="preserve"> </v>
      </c>
      <c r="DE8" s="62" t="str">
        <f ca="1">IFERROR(IF(ISNUMBER(DA8),'3.Vehicles'!F2 * INDEX('2.Distances'!D2:D401,DA7*20+DA8 + 1) +DE7," ")," ")</f>
        <v xml:space="preserve"> </v>
      </c>
      <c r="DF8" s="63" t="str">
        <f ca="1">IFERROR(IF(ISNUMBER(DA8),'3.Vehicles'!F2 * INDEX('2.Distances'!D2:D401,DA7*20+DA8 + 1) +DG7," ")," ")</f>
        <v xml:space="preserve"> </v>
      </c>
      <c r="DG8" s="63" t="str">
        <f ca="1">IFERROR(IF(AND(DA5&lt;&gt;DA8,ISNUMBER(DF8)),INDEX('1.Locations'!I2:I21,DA8 + 1) + MAX(DF8,INDEX('1.Locations'!F2:F21,DA8 + 1))," ")," ")</f>
        <v xml:space="preserve"> </v>
      </c>
      <c r="DH8" s="62" t="str">
        <f ca="1">IFERROR(IF(AND(CZ8 = CZ5, CZ9 = ""), DF8 - DG5, DG8 - DG5)," ")</f>
        <v xml:space="preserve"> </v>
      </c>
      <c r="DI8" s="60" t="str">
        <f ca="1">IFERROR(IF(ISNUMBER(DA8),INDEX('1.Locations'!L2:L21,DA8 + 1) + DI7," ")," ")</f>
        <v xml:space="preserve"> </v>
      </c>
      <c r="DJ8" s="61" t="str">
        <f ca="1">IFERROR(IF(ISNUMBER(DA8),INDEX('1.Locations'!J2:J21,DA8 + 1)," ")," ")</f>
        <v xml:space="preserve"> </v>
      </c>
      <c r="DK8" s="61" t="str">
        <f ca="1">IFERROR(IF(ISNUMBER(DA8),INDEX('1.Locations'!K2:K21,DA8 + 1)," ")," ")</f>
        <v xml:space="preserve"> </v>
      </c>
      <c r="DL8" s="61" t="str">
        <f ca="1">IFERROR(IF(ISNUMBER(DA8),IF(CZ8 = CZ5, 0, DJ8 + DL7)," ")," ")</f>
        <v xml:space="preserve"> </v>
      </c>
      <c r="DM8" s="61" t="str">
        <f ca="1">IFERROR(IF(ISNUMBER(DA8),IF(CZ9 = CZ5, 0, IF(CZ9 = "", 0, DM9 + DK9))," ")," ")</f>
        <v xml:space="preserve"> </v>
      </c>
      <c r="DN8" s="60" t="str">
        <f ca="1">IFERROR(IF(ISNUMBER(DA8),DL8 + DM8," ")," ")</f>
        <v xml:space="preserve"> </v>
      </c>
      <c r="DP8" s="16">
        <v>3</v>
      </c>
      <c r="DQ8" s="59"/>
      <c r="DR8" s="60" t="str">
        <f ca="1">IFERROR(MATCH(INDIRECT("DQ8"),'1.Locations'!B2:B21, 0) - 1," ")</f>
        <v xml:space="preserve"> </v>
      </c>
      <c r="DS8" s="60" t="e">
        <f ca="1">IFERROR(IF(ISNUMBER(DR8),INDEX('1.Locations'!D2:D21,DR8 + 1),NA()),NA())</f>
        <v>#N/A</v>
      </c>
      <c r="DT8" s="60" t="e">
        <f ca="1">IFERROR(IF(ISNUMBER(DR8),INDEX('1.Locations'!E2:E21,DR8 + 1),NA()),NA())</f>
        <v>#N/A</v>
      </c>
      <c r="DU8" s="61" t="str">
        <f ca="1">IFERROR(IF(ISNUMBER(DR8),INDEX('2.Distances'!C2:C401,DR7*20+DR8+ 1) +DU7," ")," ")</f>
        <v xml:space="preserve"> </v>
      </c>
      <c r="DV8" s="62" t="str">
        <f ca="1">IFERROR(IF(ISNUMBER(DR8),'3.Vehicles'!F2 * INDEX('2.Distances'!D2:D401,DR7*20+DR8 + 1) +DV7," ")," ")</f>
        <v xml:space="preserve"> </v>
      </c>
      <c r="DW8" s="63" t="str">
        <f ca="1">IFERROR(IF(ISNUMBER(DR8),'3.Vehicles'!F2 * INDEX('2.Distances'!D2:D401,DR7*20+DR8 + 1) +DX7," ")," ")</f>
        <v xml:space="preserve"> </v>
      </c>
      <c r="DX8" s="63" t="str">
        <f ca="1">IFERROR(IF(AND(DR5&lt;&gt;DR8,ISNUMBER(DW8)),INDEX('1.Locations'!I2:I21,DR8 + 1) + MAX(DW8,INDEX('1.Locations'!F2:F21,DR8 + 1))," ")," ")</f>
        <v xml:space="preserve"> </v>
      </c>
      <c r="DY8" s="62" t="str">
        <f ca="1">IFERROR(IF(AND(DQ8 = DQ5, DQ9 = ""), DW8 - DX5, DX8 - DX5)," ")</f>
        <v xml:space="preserve"> </v>
      </c>
      <c r="DZ8" s="60" t="str">
        <f ca="1">IFERROR(IF(ISNUMBER(DR8),INDEX('1.Locations'!L2:L21,DR8 + 1) + DZ7," ")," ")</f>
        <v xml:space="preserve"> </v>
      </c>
      <c r="EA8" s="61" t="str">
        <f ca="1">IFERROR(IF(ISNUMBER(DR8),INDEX('1.Locations'!J2:J21,DR8 + 1)," ")," ")</f>
        <v xml:space="preserve"> </v>
      </c>
      <c r="EB8" s="61" t="str">
        <f ca="1">IFERROR(IF(ISNUMBER(DR8),INDEX('1.Locations'!K2:K21,DR8 + 1)," ")," ")</f>
        <v xml:space="preserve"> </v>
      </c>
      <c r="EC8" s="61" t="str">
        <f ca="1">IFERROR(IF(ISNUMBER(DR8),IF(DQ8 = DQ5, 0, EA8 + EC7)," ")," ")</f>
        <v xml:space="preserve"> </v>
      </c>
      <c r="ED8" s="61" t="str">
        <f ca="1">IFERROR(IF(ISNUMBER(DR8),IF(DQ9 = DQ5, 0, IF(DQ9 = "", 0, ED9 + EB9))," ")," ")</f>
        <v xml:space="preserve"> </v>
      </c>
      <c r="EE8" s="60" t="str">
        <f ca="1">IFERROR(IF(ISNUMBER(DR8),EC8 + ED8," ")," ")</f>
        <v xml:space="preserve"> </v>
      </c>
      <c r="EG8" s="16">
        <v>3</v>
      </c>
      <c r="EH8" s="59"/>
      <c r="EI8" s="60" t="str">
        <f ca="1">IFERROR(MATCH(INDIRECT("EH8"),'1.Locations'!B2:B21, 0) - 1," ")</f>
        <v xml:space="preserve"> </v>
      </c>
      <c r="EJ8" s="60" t="e">
        <f ca="1">IFERROR(IF(ISNUMBER(EI8),INDEX('1.Locations'!D2:D21,EI8 + 1),NA()),NA())</f>
        <v>#N/A</v>
      </c>
      <c r="EK8" s="60" t="e">
        <f ca="1">IFERROR(IF(ISNUMBER(EI8),INDEX('1.Locations'!E2:E21,EI8 + 1),NA()),NA())</f>
        <v>#N/A</v>
      </c>
      <c r="EL8" s="61" t="str">
        <f ca="1">IFERROR(IF(ISNUMBER(EI8),INDEX('2.Distances'!C2:C401,EI7*20+EI8+ 1) +EL7," ")," ")</f>
        <v xml:space="preserve"> </v>
      </c>
      <c r="EM8" s="62" t="str">
        <f ca="1">IFERROR(IF(ISNUMBER(EI8),'3.Vehicles'!F2 * INDEX('2.Distances'!D2:D401,EI7*20+EI8 + 1) +EM7," ")," ")</f>
        <v xml:space="preserve"> </v>
      </c>
      <c r="EN8" s="63" t="str">
        <f ca="1">IFERROR(IF(ISNUMBER(EI8),'3.Vehicles'!F2 * INDEX('2.Distances'!D2:D401,EI7*20+EI8 + 1) +EO7," ")," ")</f>
        <v xml:space="preserve"> </v>
      </c>
      <c r="EO8" s="63" t="str">
        <f ca="1">IFERROR(IF(AND(EI5&lt;&gt;EI8,ISNUMBER(EN8)),INDEX('1.Locations'!I2:I21,EI8 + 1) + MAX(EN8,INDEX('1.Locations'!F2:F21,EI8 + 1))," ")," ")</f>
        <v xml:space="preserve"> </v>
      </c>
      <c r="EP8" s="62" t="str">
        <f ca="1">IFERROR(IF(AND(EH8 = EH5, EH9 = ""), EN8 - EO5, EO8 - EO5)," ")</f>
        <v xml:space="preserve"> </v>
      </c>
      <c r="EQ8" s="60" t="str">
        <f ca="1">IFERROR(IF(ISNUMBER(EI8),INDEX('1.Locations'!L2:L21,EI8 + 1) + EQ7," ")," ")</f>
        <v xml:space="preserve"> </v>
      </c>
      <c r="ER8" s="61" t="str">
        <f ca="1">IFERROR(IF(ISNUMBER(EI8),INDEX('1.Locations'!J2:J21,EI8 + 1)," ")," ")</f>
        <v xml:space="preserve"> </v>
      </c>
      <c r="ES8" s="61" t="str">
        <f ca="1">IFERROR(IF(ISNUMBER(EI8),INDEX('1.Locations'!K2:K21,EI8 + 1)," ")," ")</f>
        <v xml:space="preserve"> </v>
      </c>
      <c r="ET8" s="61" t="str">
        <f ca="1">IFERROR(IF(ISNUMBER(EI8),IF(EH8 = EH5, 0, ER8 + ET7)," ")," ")</f>
        <v xml:space="preserve"> </v>
      </c>
      <c r="EU8" s="61" t="str">
        <f ca="1">IFERROR(IF(ISNUMBER(EI8),IF(EH9 = EH5, 0, IF(EH9 = "", 0, EU9 + ES9))," ")," ")</f>
        <v xml:space="preserve"> </v>
      </c>
      <c r="EV8" s="60" t="str">
        <f ca="1">IFERROR(IF(ISNUMBER(EI8),ET8 + EU8," ")," ")</f>
        <v xml:space="preserve"> </v>
      </c>
      <c r="EX8" s="16">
        <v>3</v>
      </c>
      <c r="EY8" s="59"/>
      <c r="EZ8" s="60" t="str">
        <f ca="1">IFERROR(MATCH(INDIRECT("EY8"),'1.Locations'!B2:B21, 0) - 1," ")</f>
        <v xml:space="preserve"> </v>
      </c>
      <c r="FA8" s="60" t="e">
        <f ca="1">IFERROR(IF(ISNUMBER(EZ8),INDEX('1.Locations'!D2:D21,EZ8 + 1),NA()),NA())</f>
        <v>#N/A</v>
      </c>
      <c r="FB8" s="60" t="e">
        <f ca="1">IFERROR(IF(ISNUMBER(EZ8),INDEX('1.Locations'!E2:E21,EZ8 + 1),NA()),NA())</f>
        <v>#N/A</v>
      </c>
      <c r="FC8" s="61" t="str">
        <f ca="1">IFERROR(IF(ISNUMBER(EZ8),INDEX('2.Distances'!C2:C401,EZ7*20+EZ8+ 1) +FC7," ")," ")</f>
        <v xml:space="preserve"> </v>
      </c>
      <c r="FD8" s="62" t="str">
        <f ca="1">IFERROR(IF(ISNUMBER(EZ8),'3.Vehicles'!F2 * INDEX('2.Distances'!D2:D401,EZ7*20+EZ8 + 1) +FD7," ")," ")</f>
        <v xml:space="preserve"> </v>
      </c>
      <c r="FE8" s="63" t="str">
        <f ca="1">IFERROR(IF(ISNUMBER(EZ8),'3.Vehicles'!F2 * INDEX('2.Distances'!D2:D401,EZ7*20+EZ8 + 1) +FF7," ")," ")</f>
        <v xml:space="preserve"> </v>
      </c>
      <c r="FF8" s="63" t="str">
        <f ca="1">IFERROR(IF(AND(EZ5&lt;&gt;EZ8,ISNUMBER(FE8)),INDEX('1.Locations'!I2:I21,EZ8 + 1) + MAX(FE8,INDEX('1.Locations'!F2:F21,EZ8 + 1))," ")," ")</f>
        <v xml:space="preserve"> </v>
      </c>
      <c r="FG8" s="62" t="str">
        <f ca="1">IFERROR(IF(AND(EY8 = EY5, EY9 = ""), FE8 - FF5, FF8 - FF5)," ")</f>
        <v xml:space="preserve"> </v>
      </c>
      <c r="FH8" s="60" t="str">
        <f ca="1">IFERROR(IF(ISNUMBER(EZ8),INDEX('1.Locations'!L2:L21,EZ8 + 1) + FH7," ")," ")</f>
        <v xml:space="preserve"> </v>
      </c>
      <c r="FI8" s="61" t="str">
        <f ca="1">IFERROR(IF(ISNUMBER(EZ8),INDEX('1.Locations'!J2:J21,EZ8 + 1)," ")," ")</f>
        <v xml:space="preserve"> </v>
      </c>
      <c r="FJ8" s="61" t="str">
        <f ca="1">IFERROR(IF(ISNUMBER(EZ8),INDEX('1.Locations'!K2:K21,EZ8 + 1)," ")," ")</f>
        <v xml:space="preserve"> </v>
      </c>
      <c r="FK8" s="61" t="str">
        <f ca="1">IFERROR(IF(ISNUMBER(EZ8),IF(EY8 = EY5, 0, FI8 + FK7)," ")," ")</f>
        <v xml:space="preserve"> </v>
      </c>
      <c r="FL8" s="61" t="str">
        <f ca="1">IFERROR(IF(ISNUMBER(EZ8),IF(EY9 = EY5, 0, IF(EY9 = "", 0, FL9 + FJ9))," ")," ")</f>
        <v xml:space="preserve"> </v>
      </c>
      <c r="FM8" s="60" t="str">
        <f ca="1">IFERROR(IF(ISNUMBER(EZ8),FK8 + FL8," ")," ")</f>
        <v xml:space="preserve"> </v>
      </c>
    </row>
    <row r="9" spans="1:169" x14ac:dyDescent="0.3">
      <c r="A9" s="16">
        <v>4</v>
      </c>
      <c r="B9" s="65"/>
      <c r="C9" s="60" t="str">
        <f ca="1">IFERROR(MATCH(INDIRECT("B9"),'1.Locations'!B2:B21, 0) - 1," ")</f>
        <v xml:space="preserve"> </v>
      </c>
      <c r="D9" s="60" t="e">
        <f ca="1">IFERROR(IF(ISNUMBER(C9),INDEX('1.Locations'!D2:D21,C9 + 1),NA()),NA())</f>
        <v>#N/A</v>
      </c>
      <c r="E9" s="60" t="e">
        <f ca="1">IFERROR(IF(ISNUMBER(C9),INDEX('1.Locations'!E2:E21,C9 + 1),NA()),NA())</f>
        <v>#N/A</v>
      </c>
      <c r="F9" s="61" t="str">
        <f ca="1">IFERROR(IF(ISNUMBER(C9),INDEX('2.Distances'!C2:C401,C8*20+C9+ 1) +F8," ")," ")</f>
        <v xml:space="preserve"> </v>
      </c>
      <c r="G9" s="62" t="str">
        <f ca="1">IFERROR(IF(ISNUMBER(C9),'3.Vehicles'!F2 * INDEX('2.Distances'!D2:D401,C8*20+C9 + 1) +G8," ")," ")</f>
        <v xml:space="preserve"> </v>
      </c>
      <c r="H9" s="63" t="str">
        <f ca="1">IFERROR(IF(ISNUMBER(C9),'3.Vehicles'!F2 * INDEX('2.Distances'!D2:D401,C8*20+C9 + 1) +I8," ")," ")</f>
        <v xml:space="preserve"> </v>
      </c>
      <c r="I9" s="63" t="str">
        <f ca="1">IFERROR(IF(AND(C5&lt;&gt;C9,ISNUMBER(H9)),INDEX('1.Locations'!I2:I21,C9 + 1) + MAX(H9,INDEX('1.Locations'!F2:F21,C9 + 1))," ")," ")</f>
        <v xml:space="preserve"> </v>
      </c>
      <c r="J9" s="62" t="str">
        <f ca="1">IFERROR(IF(AND(B9 = B5, B10 = ""), H9 - I5, I9 - I5)," ")</f>
        <v xml:space="preserve"> </v>
      </c>
      <c r="K9" s="60" t="str">
        <f ca="1">IFERROR(IF(ISNUMBER(C9),INDEX('1.Locations'!L2:L21,C9 + 1) + K8," ")," ")</f>
        <v xml:space="preserve"> </v>
      </c>
      <c r="L9" s="61" t="str">
        <f ca="1">IFERROR(IF(ISNUMBER(C9),INDEX('1.Locations'!J2:J21,C9 + 1)," ")," ")</f>
        <v xml:space="preserve"> </v>
      </c>
      <c r="M9" s="61" t="str">
        <f ca="1">IFERROR(IF(ISNUMBER(C9),INDEX('1.Locations'!K2:K21,C9 + 1)," ")," ")</f>
        <v xml:space="preserve"> </v>
      </c>
      <c r="N9" s="61" t="str">
        <f ca="1">IFERROR(IF(ISNUMBER(C9),IF(B9 = B5, 0, L9 + N8)," ")," ")</f>
        <v xml:space="preserve"> </v>
      </c>
      <c r="O9" s="61" t="str">
        <f ca="1">IFERROR(IF(ISNUMBER(C9),IF(B10 = B5, 0, IF(B10 = "", 0, O10 + M10))," ")," ")</f>
        <v xml:space="preserve"> </v>
      </c>
      <c r="P9" s="60" t="str">
        <f ca="1">IFERROR(IF(ISNUMBER(C9),N9 + O9," ")," ")</f>
        <v xml:space="preserve"> </v>
      </c>
      <c r="R9" s="16">
        <v>4</v>
      </c>
      <c r="S9" s="65" t="s">
        <v>60</v>
      </c>
      <c r="T9" s="60">
        <f ca="1">IFERROR(MATCH(INDIRECT("S9"),'1.Locations'!B2:B21, 0) - 1," ")</f>
        <v>6</v>
      </c>
      <c r="U9" s="60">
        <f ca="1">IFERROR(IF(ISNUMBER(T9),INDEX('1.Locations'!D2:D21,T9 + 1),NA()),NA())</f>
        <v>72.599999999999994</v>
      </c>
      <c r="V9" s="60">
        <f ca="1">IFERROR(IF(ISNUMBER(T9),INDEX('1.Locations'!E2:E21,T9 + 1),NA()),NA())</f>
        <v>74</v>
      </c>
      <c r="W9" s="61">
        <f ca="1">IFERROR(IF(ISNUMBER(T9),INDEX('2.Distances'!C2:C401,T8*20+T9+ 1) +W8," ")," ")</f>
        <v>126.02837590330367</v>
      </c>
      <c r="X9" s="62">
        <f ca="1">IFERROR(IF(ISNUMBER(T9),'3.Vehicles'!F2 * INDEX('2.Distances'!D2:D401,T8*20+T9 + 1) +X8," ")," ")</f>
        <v>7.5016890418633145E-2</v>
      </c>
      <c r="Y9" s="63">
        <f ca="1">IFERROR(IF(ISNUMBER(T9),'3.Vehicles'!F2 * INDEX('2.Distances'!D2:D401,T8*20+T9 + 1) +Z8," ")," ")</f>
        <v>7.5016890418633145E-2</v>
      </c>
      <c r="Z9" s="63">
        <f ca="1">IFERROR(IF(AND(T5&lt;&gt;T9,ISNUMBER(Y9)),INDEX('1.Locations'!I2:I21,T9 + 1) + MAX(Y9,INDEX('1.Locations'!F2:F21,T9 + 1))," ")," ")</f>
        <v>7.5016890418633145E-2</v>
      </c>
      <c r="AA9" s="62">
        <f ca="1">IFERROR(IF(AND(S9 = S5, S10 = ""), Y9 - Z5, Z9 - Z5)," ")</f>
        <v>7.5016890418633145E-2</v>
      </c>
      <c r="AB9" s="60">
        <f ca="1">IFERROR(IF(ISNUMBER(T9),INDEX('1.Locations'!L2:L21,T9 + 1) + AB8," ")," ")</f>
        <v>0</v>
      </c>
      <c r="AC9" s="61">
        <f ca="1">IFERROR(IF(ISNUMBER(T9),INDEX('1.Locations'!J2:J21,T9 + 1)," ")," ")</f>
        <v>0</v>
      </c>
      <c r="AD9" s="61">
        <f ca="1">IFERROR(IF(ISNUMBER(T9),INDEX('1.Locations'!K2:K21,T9 + 1)," ")," ")</f>
        <v>26.3</v>
      </c>
      <c r="AE9" s="61">
        <f ca="1">IFERROR(IF(ISNUMBER(T9),IF(S9 = S5, 0, AC9 + AE8)," ")," ")</f>
        <v>0</v>
      </c>
      <c r="AF9" s="61">
        <f ca="1">IFERROR(IF(ISNUMBER(T9),IF(S10 = S5, 0, IF(S10 = "", 0, AF10 + AD10))," ")," ")</f>
        <v>667.8</v>
      </c>
      <c r="AG9" s="60">
        <f ca="1">IFERROR(IF(ISNUMBER(T9),AE9 + AF9," ")," ")</f>
        <v>667.8</v>
      </c>
      <c r="AI9" s="16">
        <v>4</v>
      </c>
      <c r="AJ9" s="65" t="s">
        <v>59</v>
      </c>
      <c r="AK9" s="60">
        <f ca="1">IFERROR(MATCH(INDIRECT("AJ9"),'1.Locations'!B2:B21, 0) - 1," ")</f>
        <v>5</v>
      </c>
      <c r="AL9" s="60">
        <f ca="1">IFERROR(IF(ISNUMBER(AK9),INDEX('1.Locations'!D2:D21,AK9 + 1),NA()),NA())</f>
        <v>20.6</v>
      </c>
      <c r="AM9" s="60">
        <f ca="1">IFERROR(IF(ISNUMBER(AK9),INDEX('1.Locations'!E2:E21,AK9 + 1),NA()),NA())</f>
        <v>51.4</v>
      </c>
      <c r="AN9" s="61">
        <f ca="1">IFERROR(IF(ISNUMBER(AK9),INDEX('2.Distances'!C2:C401,AK8*20+AK9+ 1) +AN8," ")," ")</f>
        <v>90.75509485801949</v>
      </c>
      <c r="AO9" s="62">
        <f ca="1">IFERROR(IF(ISNUMBER(AK9),'3.Vehicles'!F2 * INDEX('2.Distances'!D2:D401,AK8*20+AK9 + 1) +AO8," ")," ")</f>
        <v>5.4020889796440173E-2</v>
      </c>
      <c r="AP9" s="63">
        <f ca="1">IFERROR(IF(ISNUMBER(AK9),'3.Vehicles'!F2 * INDEX('2.Distances'!D2:D401,AK8*20+AK9 + 1) +AQ8," ")," ")</f>
        <v>5.4020889796440173E-2</v>
      </c>
      <c r="AQ9" s="63">
        <f ca="1">IFERROR(IF(AND(AK5&lt;&gt;AK9,ISNUMBER(AP9)),INDEX('1.Locations'!I2:I21,AK9 + 1) + MAX(AP9,INDEX('1.Locations'!F2:F21,AK9 + 1))," ")," ")</f>
        <v>5.4020889796440173E-2</v>
      </c>
      <c r="AR9" s="62">
        <f ca="1">IFERROR(IF(AND(AJ9 = AJ5, AJ10 = ""), AP9 - AQ5, AQ9 - AQ5)," ")</f>
        <v>5.4020889796440173E-2</v>
      </c>
      <c r="AS9" s="60">
        <f ca="1">IFERROR(IF(ISNUMBER(AK9),INDEX('1.Locations'!L2:L21,AK9 + 1) + AS8," ")," ")</f>
        <v>0</v>
      </c>
      <c r="AT9" s="61">
        <f ca="1">IFERROR(IF(ISNUMBER(AK9),INDEX('1.Locations'!J2:J21,AK9 + 1)," ")," ")</f>
        <v>0</v>
      </c>
      <c r="AU9" s="61">
        <f ca="1">IFERROR(IF(ISNUMBER(AK9),INDEX('1.Locations'!K2:K21,AK9 + 1)," ")," ")</f>
        <v>722.6</v>
      </c>
      <c r="AV9" s="61">
        <f ca="1">IFERROR(IF(ISNUMBER(AK9),IF(AJ9 = AJ5, 0, AT9 + AV8)," ")," ")</f>
        <v>0</v>
      </c>
      <c r="AW9" s="61">
        <f ca="1">IFERROR(IF(ISNUMBER(AK9),IF(AJ10 = AJ5, 0, IF(AJ10 = "", 0, AW10 + AU10))," ")," ")</f>
        <v>84.2</v>
      </c>
      <c r="AX9" s="60">
        <f ca="1">IFERROR(IF(ISNUMBER(AK9),AV9 + AW9," ")," ")</f>
        <v>84.2</v>
      </c>
      <c r="AZ9" s="16">
        <v>4</v>
      </c>
      <c r="BA9" s="65" t="s">
        <v>52</v>
      </c>
      <c r="BB9" s="60">
        <f ca="1">IFERROR(MATCH(INDIRECT("BA9"),'1.Locations'!B2:B21, 0) - 1," ")</f>
        <v>0</v>
      </c>
      <c r="BC9" s="60">
        <f ca="1">IFERROR(IF(ISNUMBER(BB9),INDEX('1.Locations'!D2:D21,BB9 + 1),NA()),NA())</f>
        <v>50</v>
      </c>
      <c r="BD9" s="60">
        <f ca="1">IFERROR(IF(ISNUMBER(BB9),INDEX('1.Locations'!E2:E21,BB9 + 1),NA()),NA())</f>
        <v>50</v>
      </c>
      <c r="BE9" s="61">
        <f ca="1">IFERROR(IF(ISNUMBER(BB9),INDEX('2.Distances'!C2:C401,BB8*20+BB9+ 1) +BE8," ")," ")</f>
        <v>122.49993846007007</v>
      </c>
      <c r="BF9" s="62">
        <f ca="1">IFERROR(IF(ISNUMBER(BB9),'3.Vehicles'!F2 * INDEX('2.Distances'!D2:D401,BB8*20+BB9 + 1) +BF8," ")," ")</f>
        <v>7.2916630035755992E-2</v>
      </c>
      <c r="BG9" s="63">
        <f ca="1">IFERROR(IF(ISNUMBER(BB9),'3.Vehicles'!F2 * INDEX('2.Distances'!D2:D401,BB8*20+BB9 + 1) +BH8," ")," ")</f>
        <v>7.2916630035755992E-2</v>
      </c>
      <c r="BH9" s="63" t="str">
        <f ca="1">IFERROR(IF(AND(BB5&lt;&gt;BB9,ISNUMBER(BG9)),INDEX('1.Locations'!I2:I21,BB9 + 1) + MAX(BG9,INDEX('1.Locations'!F2:F21,BB9 + 1))," ")," ")</f>
        <v xml:space="preserve"> </v>
      </c>
      <c r="BI9" s="62">
        <f ca="1">IFERROR(IF(AND(BA9 = BA5, BA10 = ""), BG9 - BH5, BH9 - BH5)," ")</f>
        <v>7.2916630035755992E-2</v>
      </c>
      <c r="BJ9" s="60">
        <f ca="1">IFERROR(IF(ISNUMBER(BB9),INDEX('1.Locations'!L2:L21,BB9 + 1) + BJ8," ")," ")</f>
        <v>0</v>
      </c>
      <c r="BK9" s="61">
        <f ca="1">IFERROR(IF(ISNUMBER(BB9),INDEX('1.Locations'!J2:J21,BB9 + 1)," ")," ")</f>
        <v>0</v>
      </c>
      <c r="BL9" s="61">
        <f ca="1">IFERROR(IF(ISNUMBER(BB9),INDEX('1.Locations'!K2:K21,BB9 + 1)," ")," ")</f>
        <v>0</v>
      </c>
      <c r="BM9" s="61">
        <f ca="1">IFERROR(IF(ISNUMBER(BB9),IF(BA9 = BA5, 0, BK9 + BM8)," ")," ")</f>
        <v>0</v>
      </c>
      <c r="BN9" s="61">
        <f ca="1">IFERROR(IF(ISNUMBER(BB9),IF(BA10 = BA5, 0, IF(BA10 = "", 0, BN10 + BL10))," ")," ")</f>
        <v>0</v>
      </c>
      <c r="BO9" s="60">
        <f ca="1">IFERROR(IF(ISNUMBER(BB9),BM9 + BN9," ")," ")</f>
        <v>0</v>
      </c>
      <c r="BQ9" s="16">
        <v>4</v>
      </c>
      <c r="BR9" s="65" t="s">
        <v>54</v>
      </c>
      <c r="BS9" s="60">
        <f ca="1">IFERROR(MATCH(INDIRECT("BR9"),'1.Locations'!B2:B21, 0) - 1," ")</f>
        <v>1</v>
      </c>
      <c r="BT9" s="60">
        <f ca="1">IFERROR(IF(ISNUMBER(BS9),INDEX('1.Locations'!D2:D21,BS9 + 1),NA()),NA())</f>
        <v>10.5</v>
      </c>
      <c r="BU9" s="60">
        <f ca="1">IFERROR(IF(ISNUMBER(BS9),INDEX('1.Locations'!E2:E21,BS9 + 1),NA()),NA())</f>
        <v>27.9</v>
      </c>
      <c r="BV9" s="61">
        <f ca="1">IFERROR(IF(ISNUMBER(BS9),INDEX('2.Distances'!C2:C401,BS8*20+BS9+ 1) +BV8," ")," ")</f>
        <v>100.78079003092407</v>
      </c>
      <c r="BW9" s="62">
        <f ca="1">IFERROR(IF(ISNUMBER(BS9),'3.Vehicles'!F2 * INDEX('2.Distances'!D2:D401,BS8*20+BS9 + 1) +BW8," ")," ")</f>
        <v>5.9988565494597655E-2</v>
      </c>
      <c r="BX9" s="63">
        <f ca="1">IFERROR(IF(ISNUMBER(BS9),'3.Vehicles'!F2 * INDEX('2.Distances'!D2:D401,BS8*20+BS9 + 1) +BY8," ")," ")</f>
        <v>5.9988565494597655E-2</v>
      </c>
      <c r="BY9" s="63">
        <f ca="1">IFERROR(IF(AND(BS5&lt;&gt;BS9,ISNUMBER(BX9)),INDEX('1.Locations'!I2:I21,BS9 + 1) + MAX(BX9,INDEX('1.Locations'!F2:F21,BS9 + 1))," ")," ")</f>
        <v>5.9988565494597655E-2</v>
      </c>
      <c r="BZ9" s="62">
        <f ca="1">IFERROR(IF(AND(BR9 = BR5, BR10 = ""), BX9 - BY5, BY9 - BY5)," ")</f>
        <v>5.9988565494597655E-2</v>
      </c>
      <c r="CA9" s="60">
        <f ca="1">IFERROR(IF(ISNUMBER(BS9),INDEX('1.Locations'!L2:L21,BS9 + 1) + CA8," ")," ")</f>
        <v>0</v>
      </c>
      <c r="CB9" s="61">
        <f ca="1">IFERROR(IF(ISNUMBER(BS9),INDEX('1.Locations'!J2:J21,BS9 + 1)," ")," ")</f>
        <v>0</v>
      </c>
      <c r="CC9" s="61">
        <f ca="1">IFERROR(IF(ISNUMBER(BS9),INDEX('1.Locations'!K2:K21,BS9 + 1)," ")," ")</f>
        <v>240.1</v>
      </c>
      <c r="CD9" s="61">
        <f ca="1">IFERROR(IF(ISNUMBER(BS9),IF(BR9 = BR5, 0, CB9 + CD8)," ")," ")</f>
        <v>0</v>
      </c>
      <c r="CE9" s="61">
        <f ca="1">IFERROR(IF(ISNUMBER(BS9),IF(BR10 = BR5, 0, IF(BR10 = "", 0, CE10 + CC10))," ")," ")</f>
        <v>0</v>
      </c>
      <c r="CF9" s="60">
        <f ca="1">IFERROR(IF(ISNUMBER(BS9),CD9 + CE9," ")," ")</f>
        <v>0</v>
      </c>
      <c r="CH9" s="16">
        <v>4</v>
      </c>
      <c r="CI9" s="65"/>
      <c r="CJ9" s="60" t="str">
        <f ca="1">IFERROR(MATCH(INDIRECT("CI9"),'1.Locations'!B2:B21, 0) - 1," ")</f>
        <v xml:space="preserve"> </v>
      </c>
      <c r="CK9" s="60" t="e">
        <f ca="1">IFERROR(IF(ISNUMBER(CJ9),INDEX('1.Locations'!D2:D21,CJ9 + 1),NA()),NA())</f>
        <v>#N/A</v>
      </c>
      <c r="CL9" s="60" t="e">
        <f ca="1">IFERROR(IF(ISNUMBER(CJ9),INDEX('1.Locations'!E2:E21,CJ9 + 1),NA()),NA())</f>
        <v>#N/A</v>
      </c>
      <c r="CM9" s="61" t="str">
        <f ca="1">IFERROR(IF(ISNUMBER(CJ9),INDEX('2.Distances'!C2:C401,CJ8*20+CJ9+ 1) +CM8," ")," ")</f>
        <v xml:space="preserve"> </v>
      </c>
      <c r="CN9" s="62" t="str">
        <f ca="1">IFERROR(IF(ISNUMBER(CJ9),'3.Vehicles'!F2 * INDEX('2.Distances'!D2:D401,CJ8*20+CJ9 + 1) +CN8," ")," ")</f>
        <v xml:space="preserve"> </v>
      </c>
      <c r="CO9" s="63" t="str">
        <f ca="1">IFERROR(IF(ISNUMBER(CJ9),'3.Vehicles'!F2 * INDEX('2.Distances'!D2:D401,CJ8*20+CJ9 + 1) +CP8," ")," ")</f>
        <v xml:space="preserve"> </v>
      </c>
      <c r="CP9" s="63" t="str">
        <f ca="1">IFERROR(IF(AND(CJ5&lt;&gt;CJ9,ISNUMBER(CO9)),INDEX('1.Locations'!I2:I21,CJ9 + 1) + MAX(CO9,INDEX('1.Locations'!F2:F21,CJ9 + 1))," ")," ")</f>
        <v xml:space="preserve"> </v>
      </c>
      <c r="CQ9" s="62" t="str">
        <f ca="1">IFERROR(IF(AND(CI9 = CI5, CI10 = ""), CO9 - CP5, CP9 - CP5)," ")</f>
        <v xml:space="preserve"> </v>
      </c>
      <c r="CR9" s="60" t="str">
        <f ca="1">IFERROR(IF(ISNUMBER(CJ9),INDEX('1.Locations'!L2:L21,CJ9 + 1) + CR8," ")," ")</f>
        <v xml:space="preserve"> </v>
      </c>
      <c r="CS9" s="61" t="str">
        <f ca="1">IFERROR(IF(ISNUMBER(CJ9),INDEX('1.Locations'!J2:J21,CJ9 + 1)," ")," ")</f>
        <v xml:space="preserve"> </v>
      </c>
      <c r="CT9" s="61" t="str">
        <f ca="1">IFERROR(IF(ISNUMBER(CJ9),INDEX('1.Locations'!K2:K21,CJ9 + 1)," ")," ")</f>
        <v xml:space="preserve"> </v>
      </c>
      <c r="CU9" s="61" t="str">
        <f ca="1">IFERROR(IF(ISNUMBER(CJ9),IF(CI9 = CI5, 0, CS9 + CU8)," ")," ")</f>
        <v xml:space="preserve"> </v>
      </c>
      <c r="CV9" s="61" t="str">
        <f ca="1">IFERROR(IF(ISNUMBER(CJ9),IF(CI10 = CI5, 0, IF(CI10 = "", 0, CV10 + CT10))," ")," ")</f>
        <v xml:space="preserve"> </v>
      </c>
      <c r="CW9" s="60" t="str">
        <f ca="1">IFERROR(IF(ISNUMBER(CJ9),CU9 + CV9," ")," ")</f>
        <v xml:space="preserve"> </v>
      </c>
      <c r="CY9" s="16">
        <v>4</v>
      </c>
      <c r="CZ9" s="65"/>
      <c r="DA9" s="60" t="str">
        <f ca="1">IFERROR(MATCH(INDIRECT("CZ9"),'1.Locations'!B2:B21, 0) - 1," ")</f>
        <v xml:space="preserve"> </v>
      </c>
      <c r="DB9" s="60" t="e">
        <f ca="1">IFERROR(IF(ISNUMBER(DA9),INDEX('1.Locations'!D2:D21,DA9 + 1),NA()),NA())</f>
        <v>#N/A</v>
      </c>
      <c r="DC9" s="60" t="e">
        <f ca="1">IFERROR(IF(ISNUMBER(DA9),INDEX('1.Locations'!E2:E21,DA9 + 1),NA()),NA())</f>
        <v>#N/A</v>
      </c>
      <c r="DD9" s="61" t="str">
        <f ca="1">IFERROR(IF(ISNUMBER(DA9),INDEX('2.Distances'!C2:C401,DA8*20+DA9+ 1) +DD8," ")," ")</f>
        <v xml:space="preserve"> </v>
      </c>
      <c r="DE9" s="62" t="str">
        <f ca="1">IFERROR(IF(ISNUMBER(DA9),'3.Vehicles'!F2 * INDEX('2.Distances'!D2:D401,DA8*20+DA9 + 1) +DE8," ")," ")</f>
        <v xml:space="preserve"> </v>
      </c>
      <c r="DF9" s="63" t="str">
        <f ca="1">IFERROR(IF(ISNUMBER(DA9),'3.Vehicles'!F2 * INDEX('2.Distances'!D2:D401,DA8*20+DA9 + 1) +DG8," ")," ")</f>
        <v xml:space="preserve"> </v>
      </c>
      <c r="DG9" s="63" t="str">
        <f ca="1">IFERROR(IF(AND(DA5&lt;&gt;DA9,ISNUMBER(DF9)),INDEX('1.Locations'!I2:I21,DA9 + 1) + MAX(DF9,INDEX('1.Locations'!F2:F21,DA9 + 1))," ")," ")</f>
        <v xml:space="preserve"> </v>
      </c>
      <c r="DH9" s="62" t="str">
        <f ca="1">IFERROR(IF(AND(CZ9 = CZ5, CZ10 = ""), DF9 - DG5, DG9 - DG5)," ")</f>
        <v xml:space="preserve"> </v>
      </c>
      <c r="DI9" s="60" t="str">
        <f ca="1">IFERROR(IF(ISNUMBER(DA9),INDEX('1.Locations'!L2:L21,DA9 + 1) + DI8," ")," ")</f>
        <v xml:space="preserve"> </v>
      </c>
      <c r="DJ9" s="61" t="str">
        <f ca="1">IFERROR(IF(ISNUMBER(DA9),INDEX('1.Locations'!J2:J21,DA9 + 1)," ")," ")</f>
        <v xml:space="preserve"> </v>
      </c>
      <c r="DK9" s="61" t="str">
        <f ca="1">IFERROR(IF(ISNUMBER(DA9),INDEX('1.Locations'!K2:K21,DA9 + 1)," ")," ")</f>
        <v xml:space="preserve"> </v>
      </c>
      <c r="DL9" s="61" t="str">
        <f ca="1">IFERROR(IF(ISNUMBER(DA9),IF(CZ9 = CZ5, 0, DJ9 + DL8)," ")," ")</f>
        <v xml:space="preserve"> </v>
      </c>
      <c r="DM9" s="61" t="str">
        <f ca="1">IFERROR(IF(ISNUMBER(DA9),IF(CZ10 = CZ5, 0, IF(CZ10 = "", 0, DM10 + DK10))," ")," ")</f>
        <v xml:space="preserve"> </v>
      </c>
      <c r="DN9" s="60" t="str">
        <f ca="1">IFERROR(IF(ISNUMBER(DA9),DL9 + DM9," ")," ")</f>
        <v xml:space="preserve"> </v>
      </c>
      <c r="DP9" s="16">
        <v>4</v>
      </c>
      <c r="DQ9" s="65"/>
      <c r="DR9" s="60" t="str">
        <f ca="1">IFERROR(MATCH(INDIRECT("DQ9"),'1.Locations'!B2:B21, 0) - 1," ")</f>
        <v xml:space="preserve"> </v>
      </c>
      <c r="DS9" s="60" t="e">
        <f ca="1">IFERROR(IF(ISNUMBER(DR9),INDEX('1.Locations'!D2:D21,DR9 + 1),NA()),NA())</f>
        <v>#N/A</v>
      </c>
      <c r="DT9" s="60" t="e">
        <f ca="1">IFERROR(IF(ISNUMBER(DR9),INDEX('1.Locations'!E2:E21,DR9 + 1),NA()),NA())</f>
        <v>#N/A</v>
      </c>
      <c r="DU9" s="61" t="str">
        <f ca="1">IFERROR(IF(ISNUMBER(DR9),INDEX('2.Distances'!C2:C401,DR8*20+DR9+ 1) +DU8," ")," ")</f>
        <v xml:space="preserve"> </v>
      </c>
      <c r="DV9" s="62" t="str">
        <f ca="1">IFERROR(IF(ISNUMBER(DR9),'3.Vehicles'!F2 * INDEX('2.Distances'!D2:D401,DR8*20+DR9 + 1) +DV8," ")," ")</f>
        <v xml:space="preserve"> </v>
      </c>
      <c r="DW9" s="63" t="str">
        <f ca="1">IFERROR(IF(ISNUMBER(DR9),'3.Vehicles'!F2 * INDEX('2.Distances'!D2:D401,DR8*20+DR9 + 1) +DX8," ")," ")</f>
        <v xml:space="preserve"> </v>
      </c>
      <c r="DX9" s="63" t="str">
        <f ca="1">IFERROR(IF(AND(DR5&lt;&gt;DR9,ISNUMBER(DW9)),INDEX('1.Locations'!I2:I21,DR9 + 1) + MAX(DW9,INDEX('1.Locations'!F2:F21,DR9 + 1))," ")," ")</f>
        <v xml:space="preserve"> </v>
      </c>
      <c r="DY9" s="62" t="str">
        <f ca="1">IFERROR(IF(AND(DQ9 = DQ5, DQ10 = ""), DW9 - DX5, DX9 - DX5)," ")</f>
        <v xml:space="preserve"> </v>
      </c>
      <c r="DZ9" s="60" t="str">
        <f ca="1">IFERROR(IF(ISNUMBER(DR9),INDEX('1.Locations'!L2:L21,DR9 + 1) + DZ8," ")," ")</f>
        <v xml:space="preserve"> </v>
      </c>
      <c r="EA9" s="61" t="str">
        <f ca="1">IFERROR(IF(ISNUMBER(DR9),INDEX('1.Locations'!J2:J21,DR9 + 1)," ")," ")</f>
        <v xml:space="preserve"> </v>
      </c>
      <c r="EB9" s="61" t="str">
        <f ca="1">IFERROR(IF(ISNUMBER(DR9),INDEX('1.Locations'!K2:K21,DR9 + 1)," ")," ")</f>
        <v xml:space="preserve"> </v>
      </c>
      <c r="EC9" s="61" t="str">
        <f ca="1">IFERROR(IF(ISNUMBER(DR9),IF(DQ9 = DQ5, 0, EA9 + EC8)," ")," ")</f>
        <v xml:space="preserve"> </v>
      </c>
      <c r="ED9" s="61" t="str">
        <f ca="1">IFERROR(IF(ISNUMBER(DR9),IF(DQ10 = DQ5, 0, IF(DQ10 = "", 0, ED10 + EB10))," ")," ")</f>
        <v xml:space="preserve"> </v>
      </c>
      <c r="EE9" s="60" t="str">
        <f ca="1">IFERROR(IF(ISNUMBER(DR9),EC9 + ED9," ")," ")</f>
        <v xml:space="preserve"> </v>
      </c>
      <c r="EG9" s="16">
        <v>4</v>
      </c>
      <c r="EH9" s="65"/>
      <c r="EI9" s="60" t="str">
        <f ca="1">IFERROR(MATCH(INDIRECT("EH9"),'1.Locations'!B2:B21, 0) - 1," ")</f>
        <v xml:space="preserve"> </v>
      </c>
      <c r="EJ9" s="60" t="e">
        <f ca="1">IFERROR(IF(ISNUMBER(EI9),INDEX('1.Locations'!D2:D21,EI9 + 1),NA()),NA())</f>
        <v>#N/A</v>
      </c>
      <c r="EK9" s="60" t="e">
        <f ca="1">IFERROR(IF(ISNUMBER(EI9),INDEX('1.Locations'!E2:E21,EI9 + 1),NA()),NA())</f>
        <v>#N/A</v>
      </c>
      <c r="EL9" s="61" t="str">
        <f ca="1">IFERROR(IF(ISNUMBER(EI9),INDEX('2.Distances'!C2:C401,EI8*20+EI9+ 1) +EL8," ")," ")</f>
        <v xml:space="preserve"> </v>
      </c>
      <c r="EM9" s="62" t="str">
        <f ca="1">IFERROR(IF(ISNUMBER(EI9),'3.Vehicles'!F2 * INDEX('2.Distances'!D2:D401,EI8*20+EI9 + 1) +EM8," ")," ")</f>
        <v xml:space="preserve"> </v>
      </c>
      <c r="EN9" s="63" t="str">
        <f ca="1">IFERROR(IF(ISNUMBER(EI9),'3.Vehicles'!F2 * INDEX('2.Distances'!D2:D401,EI8*20+EI9 + 1) +EO8," ")," ")</f>
        <v xml:space="preserve"> </v>
      </c>
      <c r="EO9" s="63" t="str">
        <f ca="1">IFERROR(IF(AND(EI5&lt;&gt;EI9,ISNUMBER(EN9)),INDEX('1.Locations'!I2:I21,EI9 + 1) + MAX(EN9,INDEX('1.Locations'!F2:F21,EI9 + 1))," ")," ")</f>
        <v xml:space="preserve"> </v>
      </c>
      <c r="EP9" s="62" t="str">
        <f ca="1">IFERROR(IF(AND(EH9 = EH5, EH10 = ""), EN9 - EO5, EO9 - EO5)," ")</f>
        <v xml:space="preserve"> </v>
      </c>
      <c r="EQ9" s="60" t="str">
        <f ca="1">IFERROR(IF(ISNUMBER(EI9),INDEX('1.Locations'!L2:L21,EI9 + 1) + EQ8," ")," ")</f>
        <v xml:space="preserve"> </v>
      </c>
      <c r="ER9" s="61" t="str">
        <f ca="1">IFERROR(IF(ISNUMBER(EI9),INDEX('1.Locations'!J2:J21,EI9 + 1)," ")," ")</f>
        <v xml:space="preserve"> </v>
      </c>
      <c r="ES9" s="61" t="str">
        <f ca="1">IFERROR(IF(ISNUMBER(EI9),INDEX('1.Locations'!K2:K21,EI9 + 1)," ")," ")</f>
        <v xml:space="preserve"> </v>
      </c>
      <c r="ET9" s="61" t="str">
        <f ca="1">IFERROR(IF(ISNUMBER(EI9),IF(EH9 = EH5, 0, ER9 + ET8)," ")," ")</f>
        <v xml:space="preserve"> </v>
      </c>
      <c r="EU9" s="61" t="str">
        <f ca="1">IFERROR(IF(ISNUMBER(EI9),IF(EH10 = EH5, 0, IF(EH10 = "", 0, EU10 + ES10))," ")," ")</f>
        <v xml:space="preserve"> </v>
      </c>
      <c r="EV9" s="60" t="str">
        <f ca="1">IFERROR(IF(ISNUMBER(EI9),ET9 + EU9," ")," ")</f>
        <v xml:space="preserve"> </v>
      </c>
      <c r="EX9" s="16">
        <v>4</v>
      </c>
      <c r="EY9" s="65"/>
      <c r="EZ9" s="60" t="str">
        <f ca="1">IFERROR(MATCH(INDIRECT("EY9"),'1.Locations'!B2:B21, 0) - 1," ")</f>
        <v xml:space="preserve"> </v>
      </c>
      <c r="FA9" s="60" t="e">
        <f ca="1">IFERROR(IF(ISNUMBER(EZ9),INDEX('1.Locations'!D2:D21,EZ9 + 1),NA()),NA())</f>
        <v>#N/A</v>
      </c>
      <c r="FB9" s="60" t="e">
        <f ca="1">IFERROR(IF(ISNUMBER(EZ9),INDEX('1.Locations'!E2:E21,EZ9 + 1),NA()),NA())</f>
        <v>#N/A</v>
      </c>
      <c r="FC9" s="61" t="str">
        <f ca="1">IFERROR(IF(ISNUMBER(EZ9),INDEX('2.Distances'!C2:C401,EZ8*20+EZ9+ 1) +FC8," ")," ")</f>
        <v xml:space="preserve"> </v>
      </c>
      <c r="FD9" s="62" t="str">
        <f ca="1">IFERROR(IF(ISNUMBER(EZ9),'3.Vehicles'!F2 * INDEX('2.Distances'!D2:D401,EZ8*20+EZ9 + 1) +FD8," ")," ")</f>
        <v xml:space="preserve"> </v>
      </c>
      <c r="FE9" s="63" t="str">
        <f ca="1">IFERROR(IF(ISNUMBER(EZ9),'3.Vehicles'!F2 * INDEX('2.Distances'!D2:D401,EZ8*20+EZ9 + 1) +FF8," ")," ")</f>
        <v xml:space="preserve"> </v>
      </c>
      <c r="FF9" s="63" t="str">
        <f ca="1">IFERROR(IF(AND(EZ5&lt;&gt;EZ9,ISNUMBER(FE9)),INDEX('1.Locations'!I2:I21,EZ9 + 1) + MAX(FE9,INDEX('1.Locations'!F2:F21,EZ9 + 1))," ")," ")</f>
        <v xml:space="preserve"> </v>
      </c>
      <c r="FG9" s="62" t="str">
        <f ca="1">IFERROR(IF(AND(EY9 = EY5, EY10 = ""), FE9 - FF5, FF9 - FF5)," ")</f>
        <v xml:space="preserve"> </v>
      </c>
      <c r="FH9" s="60" t="str">
        <f ca="1">IFERROR(IF(ISNUMBER(EZ9),INDEX('1.Locations'!L2:L21,EZ9 + 1) + FH8," ")," ")</f>
        <v xml:space="preserve"> </v>
      </c>
      <c r="FI9" s="61" t="str">
        <f ca="1">IFERROR(IF(ISNUMBER(EZ9),INDEX('1.Locations'!J2:J21,EZ9 + 1)," ")," ")</f>
        <v xml:space="preserve"> </v>
      </c>
      <c r="FJ9" s="61" t="str">
        <f ca="1">IFERROR(IF(ISNUMBER(EZ9),INDEX('1.Locations'!K2:K21,EZ9 + 1)," ")," ")</f>
        <v xml:space="preserve"> </v>
      </c>
      <c r="FK9" s="61" t="str">
        <f ca="1">IFERROR(IF(ISNUMBER(EZ9),IF(EY9 = EY5, 0, FI9 + FK8)," ")," ")</f>
        <v xml:space="preserve"> </v>
      </c>
      <c r="FL9" s="61" t="str">
        <f ca="1">IFERROR(IF(ISNUMBER(EZ9),IF(EY10 = EY5, 0, IF(EY10 = "", 0, FL10 + FJ10))," ")," ")</f>
        <v xml:space="preserve"> </v>
      </c>
      <c r="FM9" s="60" t="str">
        <f ca="1">IFERROR(IF(ISNUMBER(EZ9),FK9 + FL9," ")," ")</f>
        <v xml:space="preserve"> </v>
      </c>
    </row>
    <row r="10" spans="1:169" x14ac:dyDescent="0.3">
      <c r="A10" s="16">
        <v>5</v>
      </c>
      <c r="B10" s="59"/>
      <c r="C10" s="60" t="str">
        <f ca="1">IFERROR(MATCH(INDIRECT("B10"),'1.Locations'!B2:B21, 0) - 1," ")</f>
        <v xml:space="preserve"> </v>
      </c>
      <c r="D10" s="60" t="e">
        <f ca="1">IFERROR(IF(ISNUMBER(C10),INDEX('1.Locations'!D2:D21,C10 + 1),NA()),NA())</f>
        <v>#N/A</v>
      </c>
      <c r="E10" s="60" t="e">
        <f ca="1">IFERROR(IF(ISNUMBER(C10),INDEX('1.Locations'!E2:E21,C10 + 1),NA()),NA())</f>
        <v>#N/A</v>
      </c>
      <c r="F10" s="61" t="str">
        <f ca="1">IFERROR(IF(ISNUMBER(C10),INDEX('2.Distances'!C2:C401,C9*20+C10+ 1) +F9," ")," ")</f>
        <v xml:space="preserve"> </v>
      </c>
      <c r="G10" s="62" t="str">
        <f ca="1">IFERROR(IF(ISNUMBER(C10),'3.Vehicles'!F2 * INDEX('2.Distances'!D2:D401,C9*20+C10 + 1) +G9," ")," ")</f>
        <v xml:space="preserve"> </v>
      </c>
      <c r="H10" s="63" t="str">
        <f ca="1">IFERROR(IF(ISNUMBER(C10),'3.Vehicles'!F2 * INDEX('2.Distances'!D2:D401,C9*20+C10 + 1) +I9," ")," ")</f>
        <v xml:space="preserve"> </v>
      </c>
      <c r="I10" s="63" t="str">
        <f ca="1">IFERROR(IF(AND(C5&lt;&gt;C10,ISNUMBER(H10)),INDEX('1.Locations'!I2:I21,C10 + 1) + MAX(H10,INDEX('1.Locations'!F2:F21,C10 + 1))," ")," ")</f>
        <v xml:space="preserve"> </v>
      </c>
      <c r="J10" s="62" t="str">
        <f ca="1">IFERROR(IF(AND(B10 = B5, B11 = ""), H10 - I5, I10 - I5)," ")</f>
        <v xml:space="preserve"> </v>
      </c>
      <c r="K10" s="60" t="str">
        <f ca="1">IFERROR(IF(ISNUMBER(C10),INDEX('1.Locations'!L2:L21,C10 + 1) + K9," ")," ")</f>
        <v xml:space="preserve"> </v>
      </c>
      <c r="L10" s="61" t="str">
        <f ca="1">IFERROR(IF(ISNUMBER(C10),INDEX('1.Locations'!J2:J21,C10 + 1)," ")," ")</f>
        <v xml:space="preserve"> </v>
      </c>
      <c r="M10" s="61" t="str">
        <f ca="1">IFERROR(IF(ISNUMBER(C10),INDEX('1.Locations'!K2:K21,C10 + 1)," ")," ")</f>
        <v xml:space="preserve"> </v>
      </c>
      <c r="N10" s="61" t="str">
        <f ca="1">IFERROR(IF(ISNUMBER(C10),IF(B10 = B5, 0, L10 + N9)," ")," ")</f>
        <v xml:space="preserve"> </v>
      </c>
      <c r="O10" s="61" t="str">
        <f ca="1">IFERROR(IF(ISNUMBER(C10),IF(B11 = B5, 0, IF(B11 = "", 0, O11 + M11))," ")," ")</f>
        <v xml:space="preserve"> </v>
      </c>
      <c r="P10" s="60" t="str">
        <f ca="1">IFERROR(IF(ISNUMBER(C10),N10 + O10," ")," ")</f>
        <v xml:space="preserve"> </v>
      </c>
      <c r="R10" s="16">
        <v>5</v>
      </c>
      <c r="S10" s="59" t="s">
        <v>70</v>
      </c>
      <c r="T10" s="60">
        <f ca="1">IFERROR(MATCH(INDIRECT("S10"),'1.Locations'!B2:B21, 0) - 1," ")</f>
        <v>16</v>
      </c>
      <c r="U10" s="60">
        <f ca="1">IFERROR(IF(ISNUMBER(T10),INDEX('1.Locations'!D2:D21,T10 + 1),NA()),NA())</f>
        <v>54.4</v>
      </c>
      <c r="V10" s="60">
        <f ca="1">IFERROR(IF(ISNUMBER(T10),INDEX('1.Locations'!E2:E21,T10 + 1),NA()),NA())</f>
        <v>75.3</v>
      </c>
      <c r="W10" s="61">
        <f ca="1">IFERROR(IF(ISNUMBER(T10),INDEX('2.Distances'!C2:C401,T9*20+T10+ 1) +W9," ")," ")</f>
        <v>144.27474540520731</v>
      </c>
      <c r="X10" s="62">
        <f ca="1">IFERROR(IF(ISNUMBER(T10),'3.Vehicles'!F2 * INDEX('2.Distances'!D2:D401,T9*20+T10 + 1) +X9," ")," ")</f>
        <v>8.5877824645956752E-2</v>
      </c>
      <c r="Y10" s="63">
        <f ca="1">IFERROR(IF(ISNUMBER(T10),'3.Vehicles'!F2 * INDEX('2.Distances'!D2:D401,T9*20+T10 + 1) +Z9," ")," ")</f>
        <v>8.5877824645956752E-2</v>
      </c>
      <c r="Z10" s="63">
        <f ca="1">IFERROR(IF(AND(T5&lt;&gt;T10,ISNUMBER(Y10)),INDEX('1.Locations'!I2:I21,T10 + 1) + MAX(Y10,INDEX('1.Locations'!F2:F21,T10 + 1))," ")," ")</f>
        <v>8.5877824645956752E-2</v>
      </c>
      <c r="AA10" s="62">
        <f ca="1">IFERROR(IF(AND(S10 = S5, S11 = ""), Y10 - Z5, Z10 - Z5)," ")</f>
        <v>8.5877824645956752E-2</v>
      </c>
      <c r="AB10" s="60">
        <f ca="1">IFERROR(IF(ISNUMBER(T10),INDEX('1.Locations'!L2:L21,T10 + 1) + AB9," ")," ")</f>
        <v>0</v>
      </c>
      <c r="AC10" s="61">
        <f ca="1">IFERROR(IF(ISNUMBER(T10),INDEX('1.Locations'!J2:J21,T10 + 1)," ")," ")</f>
        <v>0</v>
      </c>
      <c r="AD10" s="61">
        <f ca="1">IFERROR(IF(ISNUMBER(T10),INDEX('1.Locations'!K2:K21,T10 + 1)," ")," ")</f>
        <v>667.8</v>
      </c>
      <c r="AE10" s="61">
        <f ca="1">IFERROR(IF(ISNUMBER(T10),IF(S10 = S5, 0, AC10 + AE9)," ")," ")</f>
        <v>0</v>
      </c>
      <c r="AF10" s="61">
        <f ca="1">IFERROR(IF(ISNUMBER(T10),IF(S11 = S5, 0, IF(S11 = "", 0, AF11 + AD11))," ")," ")</f>
        <v>0</v>
      </c>
      <c r="AG10" s="60">
        <f ca="1">IFERROR(IF(ISNUMBER(T10),AE10 + AF10," ")," ")</f>
        <v>0</v>
      </c>
      <c r="AI10" s="16">
        <v>5</v>
      </c>
      <c r="AJ10" s="59" t="s">
        <v>68</v>
      </c>
      <c r="AK10" s="60">
        <f ca="1">IFERROR(MATCH(INDIRECT("AJ10"),'1.Locations'!B2:B21, 0) - 1," ")</f>
        <v>14</v>
      </c>
      <c r="AL10" s="60">
        <f ca="1">IFERROR(IF(ISNUMBER(AK10),INDEX('1.Locations'!D2:D21,AK10 + 1),NA()),NA())</f>
        <v>23</v>
      </c>
      <c r="AM10" s="60">
        <f ca="1">IFERROR(IF(ISNUMBER(AK10),INDEX('1.Locations'!E2:E21,AK10 + 1),NA()),NA())</f>
        <v>47.5</v>
      </c>
      <c r="AN10" s="61">
        <f ca="1">IFERROR(IF(ISNUMBER(AK10),INDEX('2.Distances'!C2:C401,AK9*20+AK10+ 1) +AN9," ")," ")</f>
        <v>95.334396114761617</v>
      </c>
      <c r="AO10" s="62">
        <f ca="1">IFERROR(IF(ISNUMBER(AK10),'3.Vehicles'!F2 * INDEX('2.Distances'!D2:D401,AK9*20+AK10 + 1) +AO9," ")," ")</f>
        <v>5.674666435402477E-2</v>
      </c>
      <c r="AP10" s="63">
        <f ca="1">IFERROR(IF(ISNUMBER(AK10),'3.Vehicles'!F2 * INDEX('2.Distances'!D2:D401,AK9*20+AK10 + 1) +AQ9," ")," ")</f>
        <v>5.674666435402477E-2</v>
      </c>
      <c r="AQ10" s="63">
        <f ca="1">IFERROR(IF(AND(AK5&lt;&gt;AK10,ISNUMBER(AP10)),INDEX('1.Locations'!I2:I21,AK10 + 1) + MAX(AP10,INDEX('1.Locations'!F2:F21,AK10 + 1))," ")," ")</f>
        <v>5.674666435402477E-2</v>
      </c>
      <c r="AR10" s="62">
        <f ca="1">IFERROR(IF(AND(AJ10 = AJ5, AJ11 = ""), AP10 - AQ5, AQ10 - AQ5)," ")</f>
        <v>5.674666435402477E-2</v>
      </c>
      <c r="AS10" s="60">
        <f ca="1">IFERROR(IF(ISNUMBER(AK10),INDEX('1.Locations'!L2:L21,AK10 + 1) + AS9," ")," ")</f>
        <v>0</v>
      </c>
      <c r="AT10" s="61">
        <f ca="1">IFERROR(IF(ISNUMBER(AK10),INDEX('1.Locations'!J2:J21,AK10 + 1)," ")," ")</f>
        <v>0</v>
      </c>
      <c r="AU10" s="61">
        <f ca="1">IFERROR(IF(ISNUMBER(AK10),INDEX('1.Locations'!K2:K21,AK10 + 1)," ")," ")</f>
        <v>84.2</v>
      </c>
      <c r="AV10" s="61">
        <f ca="1">IFERROR(IF(ISNUMBER(AK10),IF(AJ10 = AJ5, 0, AT10 + AV9)," ")," ")</f>
        <v>0</v>
      </c>
      <c r="AW10" s="61">
        <f ca="1">IFERROR(IF(ISNUMBER(AK10),IF(AJ11 = AJ5, 0, IF(AJ11 = "", 0, AW11 + AU11))," ")," ")</f>
        <v>0</v>
      </c>
      <c r="AX10" s="60">
        <f ca="1">IFERROR(IF(ISNUMBER(AK10),AV10 + AW10," ")," ")</f>
        <v>0</v>
      </c>
      <c r="AZ10" s="16">
        <v>5</v>
      </c>
      <c r="BA10" s="59"/>
      <c r="BB10" s="60" t="str">
        <f ca="1">IFERROR(MATCH(INDIRECT("BA10"),'1.Locations'!B2:B21, 0) - 1," ")</f>
        <v xml:space="preserve"> </v>
      </c>
      <c r="BC10" s="60" t="e">
        <f ca="1">IFERROR(IF(ISNUMBER(BB10),INDEX('1.Locations'!D2:D21,BB10 + 1),NA()),NA())</f>
        <v>#N/A</v>
      </c>
      <c r="BD10" s="60" t="e">
        <f ca="1">IFERROR(IF(ISNUMBER(BB10),INDEX('1.Locations'!E2:E21,BB10 + 1),NA()),NA())</f>
        <v>#N/A</v>
      </c>
      <c r="BE10" s="61" t="str">
        <f ca="1">IFERROR(IF(ISNUMBER(BB10),INDEX('2.Distances'!C2:C401,BB9*20+BB10+ 1) +BE9," ")," ")</f>
        <v xml:space="preserve"> </v>
      </c>
      <c r="BF10" s="62" t="str">
        <f ca="1">IFERROR(IF(ISNUMBER(BB10),'3.Vehicles'!F2 * INDEX('2.Distances'!D2:D401,BB9*20+BB10 + 1) +BF9," ")," ")</f>
        <v xml:space="preserve"> </v>
      </c>
      <c r="BG10" s="63" t="str">
        <f ca="1">IFERROR(IF(ISNUMBER(BB10),'3.Vehicles'!F2 * INDEX('2.Distances'!D2:D401,BB9*20+BB10 + 1) +BH9," ")," ")</f>
        <v xml:space="preserve"> </v>
      </c>
      <c r="BH10" s="63" t="str">
        <f ca="1">IFERROR(IF(AND(BB5&lt;&gt;BB10,ISNUMBER(BG10)),INDEX('1.Locations'!I2:I21,BB10 + 1) + MAX(BG10,INDEX('1.Locations'!F2:F21,BB10 + 1))," ")," ")</f>
        <v xml:space="preserve"> </v>
      </c>
      <c r="BI10" s="62" t="str">
        <f ca="1">IFERROR(IF(AND(BA10 = BA5, BA11 = ""), BG10 - BH5, BH10 - BH5)," ")</f>
        <v xml:space="preserve"> </v>
      </c>
      <c r="BJ10" s="60" t="str">
        <f ca="1">IFERROR(IF(ISNUMBER(BB10),INDEX('1.Locations'!L2:L21,BB10 + 1) + BJ9," ")," ")</f>
        <v xml:space="preserve"> </v>
      </c>
      <c r="BK10" s="61" t="str">
        <f ca="1">IFERROR(IF(ISNUMBER(BB10),INDEX('1.Locations'!J2:J21,BB10 + 1)," ")," ")</f>
        <v xml:space="preserve"> </v>
      </c>
      <c r="BL10" s="61" t="str">
        <f ca="1">IFERROR(IF(ISNUMBER(BB10),INDEX('1.Locations'!K2:K21,BB10 + 1)," ")," ")</f>
        <v xml:space="preserve"> </v>
      </c>
      <c r="BM10" s="61" t="str">
        <f ca="1">IFERROR(IF(ISNUMBER(BB10),IF(BA10 = BA5, 0, BK10 + BM9)," ")," ")</f>
        <v xml:space="preserve"> </v>
      </c>
      <c r="BN10" s="61" t="str">
        <f ca="1">IFERROR(IF(ISNUMBER(BB10),IF(BA11 = BA5, 0, IF(BA11 = "", 0, BN11 + BL11))," ")," ")</f>
        <v xml:space="preserve"> </v>
      </c>
      <c r="BO10" s="60" t="str">
        <f ca="1">IFERROR(IF(ISNUMBER(BB10),BM10 + BN10," ")," ")</f>
        <v xml:space="preserve"> </v>
      </c>
      <c r="BQ10" s="16">
        <v>5</v>
      </c>
      <c r="BR10" s="59" t="s">
        <v>52</v>
      </c>
      <c r="BS10" s="60">
        <f ca="1">IFERROR(MATCH(INDIRECT("BR10"),'1.Locations'!B2:B21, 0) - 1," ")</f>
        <v>0</v>
      </c>
      <c r="BT10" s="60">
        <f ca="1">IFERROR(IF(ISNUMBER(BS10),INDEX('1.Locations'!D2:D21,BS10 + 1),NA()),NA())</f>
        <v>50</v>
      </c>
      <c r="BU10" s="60">
        <f ca="1">IFERROR(IF(ISNUMBER(BS10),INDEX('1.Locations'!E2:E21,BS10 + 1),NA()),NA())</f>
        <v>50</v>
      </c>
      <c r="BV10" s="61">
        <f ca="1">IFERROR(IF(ISNUMBER(BS10),INDEX('2.Distances'!C2:C401,BS9*20+BS10+ 1) +BV9," ")," ")</f>
        <v>146.0429154781454</v>
      </c>
      <c r="BW10" s="62">
        <f ca="1">IFERROR(IF(ISNUMBER(BS10),'3.Vehicles'!F2 * INDEX('2.Distances'!D2:D401,BS9*20+BS10 + 1) +BW9," ")," ")</f>
        <v>8.6930306832229395E-2</v>
      </c>
      <c r="BX10" s="63">
        <f ca="1">IFERROR(IF(ISNUMBER(BS10),'3.Vehicles'!F2 * INDEX('2.Distances'!D2:D401,BS9*20+BS10 + 1) +BY9," ")," ")</f>
        <v>8.6930306832229395E-2</v>
      </c>
      <c r="BY10" s="63" t="str">
        <f ca="1">IFERROR(IF(AND(BS5&lt;&gt;BS10,ISNUMBER(BX10)),INDEX('1.Locations'!I2:I21,BS10 + 1) + MAX(BX10,INDEX('1.Locations'!F2:F21,BS10 + 1))," ")," ")</f>
        <v xml:space="preserve"> </v>
      </c>
      <c r="BZ10" s="62">
        <f ca="1">IFERROR(IF(AND(BR10 = BR5, BR11 = ""), BX10 - BY5, BY10 - BY5)," ")</f>
        <v>8.6930306832229395E-2</v>
      </c>
      <c r="CA10" s="60">
        <f ca="1">IFERROR(IF(ISNUMBER(BS10),INDEX('1.Locations'!L2:L21,BS10 + 1) + CA9," ")," ")</f>
        <v>0</v>
      </c>
      <c r="CB10" s="61">
        <f ca="1">IFERROR(IF(ISNUMBER(BS10),INDEX('1.Locations'!J2:J21,BS10 + 1)," ")," ")</f>
        <v>0</v>
      </c>
      <c r="CC10" s="61">
        <f ca="1">IFERROR(IF(ISNUMBER(BS10),INDEX('1.Locations'!K2:K21,BS10 + 1)," ")," ")</f>
        <v>0</v>
      </c>
      <c r="CD10" s="61">
        <f ca="1">IFERROR(IF(ISNUMBER(BS10),IF(BR10 = BR5, 0, CB10 + CD9)," ")," ")</f>
        <v>0</v>
      </c>
      <c r="CE10" s="61">
        <f ca="1">IFERROR(IF(ISNUMBER(BS10),IF(BR11 = BR5, 0, IF(BR11 = "", 0, CE11 + CC11))," ")," ")</f>
        <v>0</v>
      </c>
      <c r="CF10" s="60">
        <f ca="1">IFERROR(IF(ISNUMBER(BS10),CD10 + CE10," ")," ")</f>
        <v>0</v>
      </c>
      <c r="CH10" s="16">
        <v>5</v>
      </c>
      <c r="CI10" s="59"/>
      <c r="CJ10" s="60" t="str">
        <f ca="1">IFERROR(MATCH(INDIRECT("CI10"),'1.Locations'!B2:B21, 0) - 1," ")</f>
        <v xml:space="preserve"> </v>
      </c>
      <c r="CK10" s="60" t="e">
        <f ca="1">IFERROR(IF(ISNUMBER(CJ10),INDEX('1.Locations'!D2:D21,CJ10 + 1),NA()),NA())</f>
        <v>#N/A</v>
      </c>
      <c r="CL10" s="60" t="e">
        <f ca="1">IFERROR(IF(ISNUMBER(CJ10),INDEX('1.Locations'!E2:E21,CJ10 + 1),NA()),NA())</f>
        <v>#N/A</v>
      </c>
      <c r="CM10" s="61" t="str">
        <f ca="1">IFERROR(IF(ISNUMBER(CJ10),INDEX('2.Distances'!C2:C401,CJ9*20+CJ10+ 1) +CM9," ")," ")</f>
        <v xml:space="preserve"> </v>
      </c>
      <c r="CN10" s="62" t="str">
        <f ca="1">IFERROR(IF(ISNUMBER(CJ10),'3.Vehicles'!F2 * INDEX('2.Distances'!D2:D401,CJ9*20+CJ10 + 1) +CN9," ")," ")</f>
        <v xml:space="preserve"> </v>
      </c>
      <c r="CO10" s="63" t="str">
        <f ca="1">IFERROR(IF(ISNUMBER(CJ10),'3.Vehicles'!F2 * INDEX('2.Distances'!D2:D401,CJ9*20+CJ10 + 1) +CP9," ")," ")</f>
        <v xml:space="preserve"> </v>
      </c>
      <c r="CP10" s="63" t="str">
        <f ca="1">IFERROR(IF(AND(CJ5&lt;&gt;CJ10,ISNUMBER(CO10)),INDEX('1.Locations'!I2:I21,CJ10 + 1) + MAX(CO10,INDEX('1.Locations'!F2:F21,CJ10 + 1))," ")," ")</f>
        <v xml:space="preserve"> </v>
      </c>
      <c r="CQ10" s="62" t="str">
        <f ca="1">IFERROR(IF(AND(CI10 = CI5, CI11 = ""), CO10 - CP5, CP10 - CP5)," ")</f>
        <v xml:space="preserve"> </v>
      </c>
      <c r="CR10" s="60" t="str">
        <f ca="1">IFERROR(IF(ISNUMBER(CJ10),INDEX('1.Locations'!L2:L21,CJ10 + 1) + CR9," ")," ")</f>
        <v xml:space="preserve"> </v>
      </c>
      <c r="CS10" s="61" t="str">
        <f ca="1">IFERROR(IF(ISNUMBER(CJ10),INDEX('1.Locations'!J2:J21,CJ10 + 1)," ")," ")</f>
        <v xml:space="preserve"> </v>
      </c>
      <c r="CT10" s="61" t="str">
        <f ca="1">IFERROR(IF(ISNUMBER(CJ10),INDEX('1.Locations'!K2:K21,CJ10 + 1)," ")," ")</f>
        <v xml:space="preserve"> </v>
      </c>
      <c r="CU10" s="61" t="str">
        <f ca="1">IFERROR(IF(ISNUMBER(CJ10),IF(CI10 = CI5, 0, CS10 + CU9)," ")," ")</f>
        <v xml:space="preserve"> </v>
      </c>
      <c r="CV10" s="61" t="str">
        <f ca="1">IFERROR(IF(ISNUMBER(CJ10),IF(CI11 = CI5, 0, IF(CI11 = "", 0, CV11 + CT11))," ")," ")</f>
        <v xml:space="preserve"> </v>
      </c>
      <c r="CW10" s="60" t="str">
        <f ca="1">IFERROR(IF(ISNUMBER(CJ10),CU10 + CV10," ")," ")</f>
        <v xml:space="preserve"> </v>
      </c>
      <c r="CY10" s="16">
        <v>5</v>
      </c>
      <c r="CZ10" s="59"/>
      <c r="DA10" s="60" t="str">
        <f ca="1">IFERROR(MATCH(INDIRECT("CZ10"),'1.Locations'!B2:B21, 0) - 1," ")</f>
        <v xml:space="preserve"> </v>
      </c>
      <c r="DB10" s="60" t="e">
        <f ca="1">IFERROR(IF(ISNUMBER(DA10),INDEX('1.Locations'!D2:D21,DA10 + 1),NA()),NA())</f>
        <v>#N/A</v>
      </c>
      <c r="DC10" s="60" t="e">
        <f ca="1">IFERROR(IF(ISNUMBER(DA10),INDEX('1.Locations'!E2:E21,DA10 + 1),NA()),NA())</f>
        <v>#N/A</v>
      </c>
      <c r="DD10" s="61" t="str">
        <f ca="1">IFERROR(IF(ISNUMBER(DA10),INDEX('2.Distances'!C2:C401,DA9*20+DA10+ 1) +DD9," ")," ")</f>
        <v xml:space="preserve"> </v>
      </c>
      <c r="DE10" s="62" t="str">
        <f ca="1">IFERROR(IF(ISNUMBER(DA10),'3.Vehicles'!F2 * INDEX('2.Distances'!D2:D401,DA9*20+DA10 + 1) +DE9," ")," ")</f>
        <v xml:space="preserve"> </v>
      </c>
      <c r="DF10" s="63" t="str">
        <f ca="1">IFERROR(IF(ISNUMBER(DA10),'3.Vehicles'!F2 * INDEX('2.Distances'!D2:D401,DA9*20+DA10 + 1) +DG9," ")," ")</f>
        <v xml:space="preserve"> </v>
      </c>
      <c r="DG10" s="63" t="str">
        <f ca="1">IFERROR(IF(AND(DA5&lt;&gt;DA10,ISNUMBER(DF10)),INDEX('1.Locations'!I2:I21,DA10 + 1) + MAX(DF10,INDEX('1.Locations'!F2:F21,DA10 + 1))," ")," ")</f>
        <v xml:space="preserve"> </v>
      </c>
      <c r="DH10" s="62" t="str">
        <f ca="1">IFERROR(IF(AND(CZ10 = CZ5, CZ11 = ""), DF10 - DG5, DG10 - DG5)," ")</f>
        <v xml:space="preserve"> </v>
      </c>
      <c r="DI10" s="60" t="str">
        <f ca="1">IFERROR(IF(ISNUMBER(DA10),INDEX('1.Locations'!L2:L21,DA10 + 1) + DI9," ")," ")</f>
        <v xml:space="preserve"> </v>
      </c>
      <c r="DJ10" s="61" t="str">
        <f ca="1">IFERROR(IF(ISNUMBER(DA10),INDEX('1.Locations'!J2:J21,DA10 + 1)," ")," ")</f>
        <v xml:space="preserve"> </v>
      </c>
      <c r="DK10" s="61" t="str">
        <f ca="1">IFERROR(IF(ISNUMBER(DA10),INDEX('1.Locations'!K2:K21,DA10 + 1)," ")," ")</f>
        <v xml:space="preserve"> </v>
      </c>
      <c r="DL10" s="61" t="str">
        <f ca="1">IFERROR(IF(ISNUMBER(DA10),IF(CZ10 = CZ5, 0, DJ10 + DL9)," ")," ")</f>
        <v xml:space="preserve"> </v>
      </c>
      <c r="DM10" s="61" t="str">
        <f ca="1">IFERROR(IF(ISNUMBER(DA10),IF(CZ11 = CZ5, 0, IF(CZ11 = "", 0, DM11 + DK11))," ")," ")</f>
        <v xml:space="preserve"> </v>
      </c>
      <c r="DN10" s="60" t="str">
        <f ca="1">IFERROR(IF(ISNUMBER(DA10),DL10 + DM10," ")," ")</f>
        <v xml:space="preserve"> </v>
      </c>
      <c r="DP10" s="16">
        <v>5</v>
      </c>
      <c r="DQ10" s="59"/>
      <c r="DR10" s="60" t="str">
        <f ca="1">IFERROR(MATCH(INDIRECT("DQ10"),'1.Locations'!B2:B21, 0) - 1," ")</f>
        <v xml:space="preserve"> </v>
      </c>
      <c r="DS10" s="60" t="e">
        <f ca="1">IFERROR(IF(ISNUMBER(DR10),INDEX('1.Locations'!D2:D21,DR10 + 1),NA()),NA())</f>
        <v>#N/A</v>
      </c>
      <c r="DT10" s="60" t="e">
        <f ca="1">IFERROR(IF(ISNUMBER(DR10),INDEX('1.Locations'!E2:E21,DR10 + 1),NA()),NA())</f>
        <v>#N/A</v>
      </c>
      <c r="DU10" s="61" t="str">
        <f ca="1">IFERROR(IF(ISNUMBER(DR10),INDEX('2.Distances'!C2:C401,DR9*20+DR10+ 1) +DU9," ")," ")</f>
        <v xml:space="preserve"> </v>
      </c>
      <c r="DV10" s="62" t="str">
        <f ca="1">IFERROR(IF(ISNUMBER(DR10),'3.Vehicles'!F2 * INDEX('2.Distances'!D2:D401,DR9*20+DR10 + 1) +DV9," ")," ")</f>
        <v xml:space="preserve"> </v>
      </c>
      <c r="DW10" s="63" t="str">
        <f ca="1">IFERROR(IF(ISNUMBER(DR10),'3.Vehicles'!F2 * INDEX('2.Distances'!D2:D401,DR9*20+DR10 + 1) +DX9," ")," ")</f>
        <v xml:space="preserve"> </v>
      </c>
      <c r="DX10" s="63" t="str">
        <f ca="1">IFERROR(IF(AND(DR5&lt;&gt;DR10,ISNUMBER(DW10)),INDEX('1.Locations'!I2:I21,DR10 + 1) + MAX(DW10,INDEX('1.Locations'!F2:F21,DR10 + 1))," ")," ")</f>
        <v xml:space="preserve"> </v>
      </c>
      <c r="DY10" s="62" t="str">
        <f ca="1">IFERROR(IF(AND(DQ10 = DQ5, DQ11 = ""), DW10 - DX5, DX10 - DX5)," ")</f>
        <v xml:space="preserve"> </v>
      </c>
      <c r="DZ10" s="60" t="str">
        <f ca="1">IFERROR(IF(ISNUMBER(DR10),INDEX('1.Locations'!L2:L21,DR10 + 1) + DZ9," ")," ")</f>
        <v xml:space="preserve"> </v>
      </c>
      <c r="EA10" s="61" t="str">
        <f ca="1">IFERROR(IF(ISNUMBER(DR10),INDEX('1.Locations'!J2:J21,DR10 + 1)," ")," ")</f>
        <v xml:space="preserve"> </v>
      </c>
      <c r="EB10" s="61" t="str">
        <f ca="1">IFERROR(IF(ISNUMBER(DR10),INDEX('1.Locations'!K2:K21,DR10 + 1)," ")," ")</f>
        <v xml:space="preserve"> </v>
      </c>
      <c r="EC10" s="61" t="str">
        <f ca="1">IFERROR(IF(ISNUMBER(DR10),IF(DQ10 = DQ5, 0, EA10 + EC9)," ")," ")</f>
        <v xml:space="preserve"> </v>
      </c>
      <c r="ED10" s="61" t="str">
        <f ca="1">IFERROR(IF(ISNUMBER(DR10),IF(DQ11 = DQ5, 0, IF(DQ11 = "", 0, ED11 + EB11))," ")," ")</f>
        <v xml:space="preserve"> </v>
      </c>
      <c r="EE10" s="60" t="str">
        <f ca="1">IFERROR(IF(ISNUMBER(DR10),EC10 + ED10," ")," ")</f>
        <v xml:space="preserve"> </v>
      </c>
      <c r="EG10" s="16">
        <v>5</v>
      </c>
      <c r="EH10" s="59"/>
      <c r="EI10" s="60" t="str">
        <f ca="1">IFERROR(MATCH(INDIRECT("EH10"),'1.Locations'!B2:B21, 0) - 1," ")</f>
        <v xml:space="preserve"> </v>
      </c>
      <c r="EJ10" s="60" t="e">
        <f ca="1">IFERROR(IF(ISNUMBER(EI10),INDEX('1.Locations'!D2:D21,EI10 + 1),NA()),NA())</f>
        <v>#N/A</v>
      </c>
      <c r="EK10" s="60" t="e">
        <f ca="1">IFERROR(IF(ISNUMBER(EI10),INDEX('1.Locations'!E2:E21,EI10 + 1),NA()),NA())</f>
        <v>#N/A</v>
      </c>
      <c r="EL10" s="61" t="str">
        <f ca="1">IFERROR(IF(ISNUMBER(EI10),INDEX('2.Distances'!C2:C401,EI9*20+EI10+ 1) +EL9," ")," ")</f>
        <v xml:space="preserve"> </v>
      </c>
      <c r="EM10" s="62" t="str">
        <f ca="1">IFERROR(IF(ISNUMBER(EI10),'3.Vehicles'!F2 * INDEX('2.Distances'!D2:D401,EI9*20+EI10 + 1) +EM9," ")," ")</f>
        <v xml:space="preserve"> </v>
      </c>
      <c r="EN10" s="63" t="str">
        <f ca="1">IFERROR(IF(ISNUMBER(EI10),'3.Vehicles'!F2 * INDEX('2.Distances'!D2:D401,EI9*20+EI10 + 1) +EO9," ")," ")</f>
        <v xml:space="preserve"> </v>
      </c>
      <c r="EO10" s="63" t="str">
        <f ca="1">IFERROR(IF(AND(EI5&lt;&gt;EI10,ISNUMBER(EN10)),INDEX('1.Locations'!I2:I21,EI10 + 1) + MAX(EN10,INDEX('1.Locations'!F2:F21,EI10 + 1))," ")," ")</f>
        <v xml:space="preserve"> </v>
      </c>
      <c r="EP10" s="62" t="str">
        <f ca="1">IFERROR(IF(AND(EH10 = EH5, EH11 = ""), EN10 - EO5, EO10 - EO5)," ")</f>
        <v xml:space="preserve"> </v>
      </c>
      <c r="EQ10" s="60" t="str">
        <f ca="1">IFERROR(IF(ISNUMBER(EI10),INDEX('1.Locations'!L2:L21,EI10 + 1) + EQ9," ")," ")</f>
        <v xml:space="preserve"> </v>
      </c>
      <c r="ER10" s="61" t="str">
        <f ca="1">IFERROR(IF(ISNUMBER(EI10),INDEX('1.Locations'!J2:J21,EI10 + 1)," ")," ")</f>
        <v xml:space="preserve"> </v>
      </c>
      <c r="ES10" s="61" t="str">
        <f ca="1">IFERROR(IF(ISNUMBER(EI10),INDEX('1.Locations'!K2:K21,EI10 + 1)," ")," ")</f>
        <v xml:space="preserve"> </v>
      </c>
      <c r="ET10" s="61" t="str">
        <f ca="1">IFERROR(IF(ISNUMBER(EI10),IF(EH10 = EH5, 0, ER10 + ET9)," ")," ")</f>
        <v xml:space="preserve"> </v>
      </c>
      <c r="EU10" s="61" t="str">
        <f ca="1">IFERROR(IF(ISNUMBER(EI10),IF(EH11 = EH5, 0, IF(EH11 = "", 0, EU11 + ES11))," ")," ")</f>
        <v xml:space="preserve"> </v>
      </c>
      <c r="EV10" s="60" t="str">
        <f ca="1">IFERROR(IF(ISNUMBER(EI10),ET10 + EU10," ")," ")</f>
        <v xml:space="preserve"> </v>
      </c>
      <c r="EX10" s="16">
        <v>5</v>
      </c>
      <c r="EY10" s="59"/>
      <c r="EZ10" s="60" t="str">
        <f ca="1">IFERROR(MATCH(INDIRECT("EY10"),'1.Locations'!B2:B21, 0) - 1," ")</f>
        <v xml:space="preserve"> </v>
      </c>
      <c r="FA10" s="60" t="e">
        <f ca="1">IFERROR(IF(ISNUMBER(EZ10),INDEX('1.Locations'!D2:D21,EZ10 + 1),NA()),NA())</f>
        <v>#N/A</v>
      </c>
      <c r="FB10" s="60" t="e">
        <f ca="1">IFERROR(IF(ISNUMBER(EZ10),INDEX('1.Locations'!E2:E21,EZ10 + 1),NA()),NA())</f>
        <v>#N/A</v>
      </c>
      <c r="FC10" s="61" t="str">
        <f ca="1">IFERROR(IF(ISNUMBER(EZ10),INDEX('2.Distances'!C2:C401,EZ9*20+EZ10+ 1) +FC9," ")," ")</f>
        <v xml:space="preserve"> </v>
      </c>
      <c r="FD10" s="62" t="str">
        <f ca="1">IFERROR(IF(ISNUMBER(EZ10),'3.Vehicles'!F2 * INDEX('2.Distances'!D2:D401,EZ9*20+EZ10 + 1) +FD9," ")," ")</f>
        <v xml:space="preserve"> </v>
      </c>
      <c r="FE10" s="63" t="str">
        <f ca="1">IFERROR(IF(ISNUMBER(EZ10),'3.Vehicles'!F2 * INDEX('2.Distances'!D2:D401,EZ9*20+EZ10 + 1) +FF9," ")," ")</f>
        <v xml:space="preserve"> </v>
      </c>
      <c r="FF10" s="63" t="str">
        <f ca="1">IFERROR(IF(AND(EZ5&lt;&gt;EZ10,ISNUMBER(FE10)),INDEX('1.Locations'!I2:I21,EZ10 + 1) + MAX(FE10,INDEX('1.Locations'!F2:F21,EZ10 + 1))," ")," ")</f>
        <v xml:space="preserve"> </v>
      </c>
      <c r="FG10" s="62" t="str">
        <f ca="1">IFERROR(IF(AND(EY10 = EY5, EY11 = ""), FE10 - FF5, FF10 - FF5)," ")</f>
        <v xml:space="preserve"> </v>
      </c>
      <c r="FH10" s="60" t="str">
        <f ca="1">IFERROR(IF(ISNUMBER(EZ10),INDEX('1.Locations'!L2:L21,EZ10 + 1) + FH9," ")," ")</f>
        <v xml:space="preserve"> </v>
      </c>
      <c r="FI10" s="61" t="str">
        <f ca="1">IFERROR(IF(ISNUMBER(EZ10),INDEX('1.Locations'!J2:J21,EZ10 + 1)," ")," ")</f>
        <v xml:space="preserve"> </v>
      </c>
      <c r="FJ10" s="61" t="str">
        <f ca="1">IFERROR(IF(ISNUMBER(EZ10),INDEX('1.Locations'!K2:K21,EZ10 + 1)," ")," ")</f>
        <v xml:space="preserve"> </v>
      </c>
      <c r="FK10" s="61" t="str">
        <f ca="1">IFERROR(IF(ISNUMBER(EZ10),IF(EY10 = EY5, 0, FI10 + FK9)," ")," ")</f>
        <v xml:space="preserve"> </v>
      </c>
      <c r="FL10" s="61" t="str">
        <f ca="1">IFERROR(IF(ISNUMBER(EZ10),IF(EY11 = EY5, 0, IF(EY11 = "", 0, FL11 + FJ11))," ")," ")</f>
        <v xml:space="preserve"> </v>
      </c>
      <c r="FM10" s="60" t="str">
        <f ca="1">IFERROR(IF(ISNUMBER(EZ10),FK10 + FL10," ")," ")</f>
        <v xml:space="preserve"> </v>
      </c>
    </row>
    <row r="11" spans="1:169" x14ac:dyDescent="0.3">
      <c r="A11" s="16">
        <v>6</v>
      </c>
      <c r="B11" s="65"/>
      <c r="C11" s="60" t="str">
        <f ca="1">IFERROR(MATCH(INDIRECT("B11"),'1.Locations'!B2:B21, 0) - 1," ")</f>
        <v xml:space="preserve"> </v>
      </c>
      <c r="D11" s="60" t="e">
        <f ca="1">IFERROR(IF(ISNUMBER(C11),INDEX('1.Locations'!D2:D21,C11 + 1),NA()),NA())</f>
        <v>#N/A</v>
      </c>
      <c r="E11" s="60" t="e">
        <f ca="1">IFERROR(IF(ISNUMBER(C11),INDEX('1.Locations'!E2:E21,C11 + 1),NA()),NA())</f>
        <v>#N/A</v>
      </c>
      <c r="F11" s="61" t="str">
        <f ca="1">IFERROR(IF(ISNUMBER(C11),INDEX('2.Distances'!C2:C401,C10*20+C11+ 1) +F10," ")," ")</f>
        <v xml:space="preserve"> </v>
      </c>
      <c r="G11" s="62" t="str">
        <f ca="1">IFERROR(IF(ISNUMBER(C11),'3.Vehicles'!F2 * INDEX('2.Distances'!D2:D401,C10*20+C11 + 1) +G10," ")," ")</f>
        <v xml:space="preserve"> </v>
      </c>
      <c r="H11" s="63" t="str">
        <f ca="1">IFERROR(IF(ISNUMBER(C11),'3.Vehicles'!F2 * INDEX('2.Distances'!D2:D401,C10*20+C11 + 1) +I10," ")," ")</f>
        <v xml:space="preserve"> </v>
      </c>
      <c r="I11" s="63" t="str">
        <f ca="1">IFERROR(IF(AND(C5&lt;&gt;C11,ISNUMBER(H11)),INDEX('1.Locations'!I2:I21,C11 + 1) + MAX(H11,INDEX('1.Locations'!F2:F21,C11 + 1))," ")," ")</f>
        <v xml:space="preserve"> </v>
      </c>
      <c r="J11" s="62" t="str">
        <f ca="1">IFERROR(IF(AND(B11 = B5, B12 = ""), H11 - I5, I11 - I5)," ")</f>
        <v xml:space="preserve"> </v>
      </c>
      <c r="K11" s="60" t="str">
        <f ca="1">IFERROR(IF(ISNUMBER(C11),INDEX('1.Locations'!L2:L21,C11 + 1) + K10," ")," ")</f>
        <v xml:space="preserve"> </v>
      </c>
      <c r="L11" s="61" t="str">
        <f ca="1">IFERROR(IF(ISNUMBER(C11),INDEX('1.Locations'!J2:J21,C11 + 1)," ")," ")</f>
        <v xml:space="preserve"> </v>
      </c>
      <c r="M11" s="61" t="str">
        <f ca="1">IFERROR(IF(ISNUMBER(C11),INDEX('1.Locations'!K2:K21,C11 + 1)," ")," ")</f>
        <v xml:space="preserve"> </v>
      </c>
      <c r="N11" s="61" t="str">
        <f ca="1">IFERROR(IF(ISNUMBER(C11),IF(B11 = B5, 0, L11 + N10)," ")," ")</f>
        <v xml:space="preserve"> </v>
      </c>
      <c r="O11" s="61" t="str">
        <f ca="1">IFERROR(IF(ISNUMBER(C11),IF(B12 = B5, 0, IF(B12 = "", 0, O12 + M12))," ")," ")</f>
        <v xml:space="preserve"> </v>
      </c>
      <c r="P11" s="60" t="str">
        <f ca="1">IFERROR(IF(ISNUMBER(C11),N11 + O11," ")," ")</f>
        <v xml:space="preserve"> </v>
      </c>
      <c r="R11" s="16">
        <v>6</v>
      </c>
      <c r="S11" s="65" t="s">
        <v>52</v>
      </c>
      <c r="T11" s="60">
        <f ca="1">IFERROR(MATCH(INDIRECT("S11"),'1.Locations'!B2:B21, 0) - 1," ")</f>
        <v>0</v>
      </c>
      <c r="U11" s="60">
        <f ca="1">IFERROR(IF(ISNUMBER(T11),INDEX('1.Locations'!D2:D21,T11 + 1),NA()),NA())</f>
        <v>50</v>
      </c>
      <c r="V11" s="60">
        <f ca="1">IFERROR(IF(ISNUMBER(T11),INDEX('1.Locations'!E2:E21,T11 + 1),NA()),NA())</f>
        <v>50</v>
      </c>
      <c r="W11" s="61">
        <f ca="1">IFERROR(IF(ISNUMBER(T11),INDEX('2.Distances'!C2:C401,T10*20+T11+ 1) +W10," ")," ")</f>
        <v>169.95450397105057</v>
      </c>
      <c r="X11" s="62">
        <f ca="1">IFERROR(IF(ISNUMBER(T11),'3.Vehicles'!F2 * INDEX('2.Distances'!D2:D401,T10*20+T11 + 1) +X10," ")," ")</f>
        <v>0.10116339522086346</v>
      </c>
      <c r="Y11" s="63">
        <f ca="1">IFERROR(IF(ISNUMBER(T11),'3.Vehicles'!F2 * INDEX('2.Distances'!D2:D401,T10*20+T11 + 1) +Z10," ")," ")</f>
        <v>0.10116339522086346</v>
      </c>
      <c r="Z11" s="63" t="str">
        <f ca="1">IFERROR(IF(AND(T5&lt;&gt;T11,ISNUMBER(Y11)),INDEX('1.Locations'!I2:I21,T11 + 1) + MAX(Y11,INDEX('1.Locations'!F2:F21,T11 + 1))," ")," ")</f>
        <v xml:space="preserve"> </v>
      </c>
      <c r="AA11" s="62">
        <f ca="1">IFERROR(IF(AND(S11 = S5, S12 = ""), Y11 - Z5, Z11 - Z5)," ")</f>
        <v>0.10116339522086346</v>
      </c>
      <c r="AB11" s="60">
        <f ca="1">IFERROR(IF(ISNUMBER(T11),INDEX('1.Locations'!L2:L21,T11 + 1) + AB10," ")," ")</f>
        <v>0</v>
      </c>
      <c r="AC11" s="61">
        <f ca="1">IFERROR(IF(ISNUMBER(T11),INDEX('1.Locations'!J2:J21,T11 + 1)," ")," ")</f>
        <v>0</v>
      </c>
      <c r="AD11" s="61">
        <f ca="1">IFERROR(IF(ISNUMBER(T11),INDEX('1.Locations'!K2:K21,T11 + 1)," ")," ")</f>
        <v>0</v>
      </c>
      <c r="AE11" s="61">
        <f ca="1">IFERROR(IF(ISNUMBER(T11),IF(S11 = S5, 0, AC11 + AE10)," ")," ")</f>
        <v>0</v>
      </c>
      <c r="AF11" s="61">
        <f ca="1">IFERROR(IF(ISNUMBER(T11),IF(S12 = S5, 0, IF(S12 = "", 0, AF12 + AD12))," ")," ")</f>
        <v>0</v>
      </c>
      <c r="AG11" s="60">
        <f ca="1">IFERROR(IF(ISNUMBER(T11),AE11 + AF11," ")," ")</f>
        <v>0</v>
      </c>
      <c r="AI11" s="16">
        <v>6</v>
      </c>
      <c r="AJ11" s="65" t="s">
        <v>52</v>
      </c>
      <c r="AK11" s="60">
        <f ca="1">IFERROR(MATCH(INDIRECT("AJ11"),'1.Locations'!B2:B21, 0) - 1," ")</f>
        <v>0</v>
      </c>
      <c r="AL11" s="60">
        <f ca="1">IFERROR(IF(ISNUMBER(AK11),INDEX('1.Locations'!D2:D21,AK11 + 1),NA()),NA())</f>
        <v>50</v>
      </c>
      <c r="AM11" s="60">
        <f ca="1">IFERROR(IF(ISNUMBER(AK11),INDEX('1.Locations'!E2:E21,AK11 + 1),NA()),NA())</f>
        <v>50</v>
      </c>
      <c r="AN11" s="61">
        <f ca="1">IFERROR(IF(ISNUMBER(AK11),INDEX('2.Distances'!C2:C401,AK10*20+AK11+ 1) +AN10," ")," ")</f>
        <v>122.44988984067412</v>
      </c>
      <c r="AO11" s="62">
        <f ca="1">IFERROR(IF(ISNUMBER(AK11),'3.Vehicles'!F2 * INDEX('2.Distances'!D2:D401,AK10*20+AK11 + 1) +AO10," ")," ")</f>
        <v>7.2886839190877448E-2</v>
      </c>
      <c r="AP11" s="63">
        <f ca="1">IFERROR(IF(ISNUMBER(AK11),'3.Vehicles'!F2 * INDEX('2.Distances'!D2:D401,AK10*20+AK11 + 1) +AQ10," ")," ")</f>
        <v>7.2886839190877448E-2</v>
      </c>
      <c r="AQ11" s="63" t="str">
        <f ca="1">IFERROR(IF(AND(AK5&lt;&gt;AK11,ISNUMBER(AP11)),INDEX('1.Locations'!I2:I21,AK11 + 1) + MAX(AP11,INDEX('1.Locations'!F2:F21,AK11 + 1))," ")," ")</f>
        <v xml:space="preserve"> </v>
      </c>
      <c r="AR11" s="62">
        <f ca="1">IFERROR(IF(AND(AJ11 = AJ5, AJ12 = ""), AP11 - AQ5, AQ11 - AQ5)," ")</f>
        <v>7.2886839190877448E-2</v>
      </c>
      <c r="AS11" s="60">
        <f ca="1">IFERROR(IF(ISNUMBER(AK11),INDEX('1.Locations'!L2:L21,AK11 + 1) + AS10," ")," ")</f>
        <v>0</v>
      </c>
      <c r="AT11" s="61">
        <f ca="1">IFERROR(IF(ISNUMBER(AK11),INDEX('1.Locations'!J2:J21,AK11 + 1)," ")," ")</f>
        <v>0</v>
      </c>
      <c r="AU11" s="61">
        <f ca="1">IFERROR(IF(ISNUMBER(AK11),INDEX('1.Locations'!K2:K21,AK11 + 1)," ")," ")</f>
        <v>0</v>
      </c>
      <c r="AV11" s="61">
        <f ca="1">IFERROR(IF(ISNUMBER(AK11),IF(AJ11 = AJ5, 0, AT11 + AV10)," ")," ")</f>
        <v>0</v>
      </c>
      <c r="AW11" s="61">
        <f ca="1">IFERROR(IF(ISNUMBER(AK11),IF(AJ12 = AJ5, 0, IF(AJ12 = "", 0, AW12 + AU12))," ")," ")</f>
        <v>0</v>
      </c>
      <c r="AX11" s="60">
        <f ca="1">IFERROR(IF(ISNUMBER(AK11),AV11 + AW11," ")," ")</f>
        <v>0</v>
      </c>
      <c r="AZ11" s="16">
        <v>6</v>
      </c>
      <c r="BA11" s="65"/>
      <c r="BB11" s="60" t="str">
        <f ca="1">IFERROR(MATCH(INDIRECT("BA11"),'1.Locations'!B2:B21, 0) - 1," ")</f>
        <v xml:space="preserve"> </v>
      </c>
      <c r="BC11" s="60" t="e">
        <f ca="1">IFERROR(IF(ISNUMBER(BB11),INDEX('1.Locations'!D2:D21,BB11 + 1),NA()),NA())</f>
        <v>#N/A</v>
      </c>
      <c r="BD11" s="60" t="e">
        <f ca="1">IFERROR(IF(ISNUMBER(BB11),INDEX('1.Locations'!E2:E21,BB11 + 1),NA()),NA())</f>
        <v>#N/A</v>
      </c>
      <c r="BE11" s="61" t="str">
        <f ca="1">IFERROR(IF(ISNUMBER(BB11),INDEX('2.Distances'!C2:C401,BB10*20+BB11+ 1) +BE10," ")," ")</f>
        <v xml:space="preserve"> </v>
      </c>
      <c r="BF11" s="62" t="str">
        <f ca="1">IFERROR(IF(ISNUMBER(BB11),'3.Vehicles'!F2 * INDEX('2.Distances'!D2:D401,BB10*20+BB11 + 1) +BF10," ")," ")</f>
        <v xml:space="preserve"> </v>
      </c>
      <c r="BG11" s="63" t="str">
        <f ca="1">IFERROR(IF(ISNUMBER(BB11),'3.Vehicles'!F2 * INDEX('2.Distances'!D2:D401,BB10*20+BB11 + 1) +BH10," ")," ")</f>
        <v xml:space="preserve"> </v>
      </c>
      <c r="BH11" s="63" t="str">
        <f ca="1">IFERROR(IF(AND(BB5&lt;&gt;BB11,ISNUMBER(BG11)),INDEX('1.Locations'!I2:I21,BB11 + 1) + MAX(BG11,INDEX('1.Locations'!F2:F21,BB11 + 1))," ")," ")</f>
        <v xml:space="preserve"> </v>
      </c>
      <c r="BI11" s="62" t="str">
        <f ca="1">IFERROR(IF(AND(BA11 = BA5, BA12 = ""), BG11 - BH5, BH11 - BH5)," ")</f>
        <v xml:space="preserve"> </v>
      </c>
      <c r="BJ11" s="60" t="str">
        <f ca="1">IFERROR(IF(ISNUMBER(BB11),INDEX('1.Locations'!L2:L21,BB11 + 1) + BJ10," ")," ")</f>
        <v xml:space="preserve"> </v>
      </c>
      <c r="BK11" s="61" t="str">
        <f ca="1">IFERROR(IF(ISNUMBER(BB11),INDEX('1.Locations'!J2:J21,BB11 + 1)," ")," ")</f>
        <v xml:space="preserve"> </v>
      </c>
      <c r="BL11" s="61" t="str">
        <f ca="1">IFERROR(IF(ISNUMBER(BB11),INDEX('1.Locations'!K2:K21,BB11 + 1)," ")," ")</f>
        <v xml:space="preserve"> </v>
      </c>
      <c r="BM11" s="61" t="str">
        <f ca="1">IFERROR(IF(ISNUMBER(BB11),IF(BA11 = BA5, 0, BK11 + BM10)," ")," ")</f>
        <v xml:space="preserve"> </v>
      </c>
      <c r="BN11" s="61" t="str">
        <f ca="1">IFERROR(IF(ISNUMBER(BB11),IF(BA12 = BA5, 0, IF(BA12 = "", 0, BN12 + BL12))," ")," ")</f>
        <v xml:space="preserve"> </v>
      </c>
      <c r="BO11" s="60" t="str">
        <f ca="1">IFERROR(IF(ISNUMBER(BB11),BM11 + BN11," ")," ")</f>
        <v xml:space="preserve"> </v>
      </c>
      <c r="BQ11" s="16">
        <v>6</v>
      </c>
      <c r="BR11" s="65"/>
      <c r="BS11" s="60" t="str">
        <f ca="1">IFERROR(MATCH(INDIRECT("BR11"),'1.Locations'!B2:B21, 0) - 1," ")</f>
        <v xml:space="preserve"> </v>
      </c>
      <c r="BT11" s="60" t="e">
        <f ca="1">IFERROR(IF(ISNUMBER(BS11),INDEX('1.Locations'!D2:D21,BS11 + 1),NA()),NA())</f>
        <v>#N/A</v>
      </c>
      <c r="BU11" s="60" t="e">
        <f ca="1">IFERROR(IF(ISNUMBER(BS11),INDEX('1.Locations'!E2:E21,BS11 + 1),NA()),NA())</f>
        <v>#N/A</v>
      </c>
      <c r="BV11" s="61" t="str">
        <f ca="1">IFERROR(IF(ISNUMBER(BS11),INDEX('2.Distances'!C2:C401,BS10*20+BS11+ 1) +BV10," ")," ")</f>
        <v xml:space="preserve"> </v>
      </c>
      <c r="BW11" s="62" t="str">
        <f ca="1">IFERROR(IF(ISNUMBER(BS11),'3.Vehicles'!F2 * INDEX('2.Distances'!D2:D401,BS10*20+BS11 + 1) +BW10," ")," ")</f>
        <v xml:space="preserve"> </v>
      </c>
      <c r="BX11" s="63" t="str">
        <f ca="1">IFERROR(IF(ISNUMBER(BS11),'3.Vehicles'!F2 * INDEX('2.Distances'!D2:D401,BS10*20+BS11 + 1) +BY10," ")," ")</f>
        <v xml:space="preserve"> </v>
      </c>
      <c r="BY11" s="63" t="str">
        <f ca="1">IFERROR(IF(AND(BS5&lt;&gt;BS11,ISNUMBER(BX11)),INDEX('1.Locations'!I2:I21,BS11 + 1) + MAX(BX11,INDEX('1.Locations'!F2:F21,BS11 + 1))," ")," ")</f>
        <v xml:space="preserve"> </v>
      </c>
      <c r="BZ11" s="62" t="str">
        <f ca="1">IFERROR(IF(AND(BR11 = BR5, BR12 = ""), BX11 - BY5, BY11 - BY5)," ")</f>
        <v xml:space="preserve"> </v>
      </c>
      <c r="CA11" s="60" t="str">
        <f ca="1">IFERROR(IF(ISNUMBER(BS11),INDEX('1.Locations'!L2:L21,BS11 + 1) + CA10," ")," ")</f>
        <v xml:space="preserve"> </v>
      </c>
      <c r="CB11" s="61" t="str">
        <f ca="1">IFERROR(IF(ISNUMBER(BS11),INDEX('1.Locations'!J2:J21,BS11 + 1)," ")," ")</f>
        <v xml:space="preserve"> </v>
      </c>
      <c r="CC11" s="61" t="str">
        <f ca="1">IFERROR(IF(ISNUMBER(BS11),INDEX('1.Locations'!K2:K21,BS11 + 1)," ")," ")</f>
        <v xml:space="preserve"> </v>
      </c>
      <c r="CD11" s="61" t="str">
        <f ca="1">IFERROR(IF(ISNUMBER(BS11),IF(BR11 = BR5, 0, CB11 + CD10)," ")," ")</f>
        <v xml:space="preserve"> </v>
      </c>
      <c r="CE11" s="61" t="str">
        <f ca="1">IFERROR(IF(ISNUMBER(BS11),IF(BR12 = BR5, 0, IF(BR12 = "", 0, CE12 + CC12))," ")," ")</f>
        <v xml:space="preserve"> </v>
      </c>
      <c r="CF11" s="60" t="str">
        <f ca="1">IFERROR(IF(ISNUMBER(BS11),CD11 + CE11," ")," ")</f>
        <v xml:space="preserve"> </v>
      </c>
      <c r="CH11" s="16">
        <v>6</v>
      </c>
      <c r="CI11" s="65"/>
      <c r="CJ11" s="60" t="str">
        <f ca="1">IFERROR(MATCH(INDIRECT("CI11"),'1.Locations'!B2:B21, 0) - 1," ")</f>
        <v xml:space="preserve"> </v>
      </c>
      <c r="CK11" s="60" t="e">
        <f ca="1">IFERROR(IF(ISNUMBER(CJ11),INDEX('1.Locations'!D2:D21,CJ11 + 1),NA()),NA())</f>
        <v>#N/A</v>
      </c>
      <c r="CL11" s="60" t="e">
        <f ca="1">IFERROR(IF(ISNUMBER(CJ11),INDEX('1.Locations'!E2:E21,CJ11 + 1),NA()),NA())</f>
        <v>#N/A</v>
      </c>
      <c r="CM11" s="61" t="str">
        <f ca="1">IFERROR(IF(ISNUMBER(CJ11),INDEX('2.Distances'!C2:C401,CJ10*20+CJ11+ 1) +CM10," ")," ")</f>
        <v xml:space="preserve"> </v>
      </c>
      <c r="CN11" s="62" t="str">
        <f ca="1">IFERROR(IF(ISNUMBER(CJ11),'3.Vehicles'!F2 * INDEX('2.Distances'!D2:D401,CJ10*20+CJ11 + 1) +CN10," ")," ")</f>
        <v xml:space="preserve"> </v>
      </c>
      <c r="CO11" s="63" t="str">
        <f ca="1">IFERROR(IF(ISNUMBER(CJ11),'3.Vehicles'!F2 * INDEX('2.Distances'!D2:D401,CJ10*20+CJ11 + 1) +CP10," ")," ")</f>
        <v xml:space="preserve"> </v>
      </c>
      <c r="CP11" s="63" t="str">
        <f ca="1">IFERROR(IF(AND(CJ5&lt;&gt;CJ11,ISNUMBER(CO11)),INDEX('1.Locations'!I2:I21,CJ11 + 1) + MAX(CO11,INDEX('1.Locations'!F2:F21,CJ11 + 1))," ")," ")</f>
        <v xml:space="preserve"> </v>
      </c>
      <c r="CQ11" s="62" t="str">
        <f ca="1">IFERROR(IF(AND(CI11 = CI5, CI12 = ""), CO11 - CP5, CP11 - CP5)," ")</f>
        <v xml:space="preserve"> </v>
      </c>
      <c r="CR11" s="60" t="str">
        <f ca="1">IFERROR(IF(ISNUMBER(CJ11),INDEX('1.Locations'!L2:L21,CJ11 + 1) + CR10," ")," ")</f>
        <v xml:space="preserve"> </v>
      </c>
      <c r="CS11" s="61" t="str">
        <f ca="1">IFERROR(IF(ISNUMBER(CJ11),INDEX('1.Locations'!J2:J21,CJ11 + 1)," ")," ")</f>
        <v xml:space="preserve"> </v>
      </c>
      <c r="CT11" s="61" t="str">
        <f ca="1">IFERROR(IF(ISNUMBER(CJ11),INDEX('1.Locations'!K2:K21,CJ11 + 1)," ")," ")</f>
        <v xml:space="preserve"> </v>
      </c>
      <c r="CU11" s="61" t="str">
        <f ca="1">IFERROR(IF(ISNUMBER(CJ11),IF(CI11 = CI5, 0, CS11 + CU10)," ")," ")</f>
        <v xml:space="preserve"> </v>
      </c>
      <c r="CV11" s="61" t="str">
        <f ca="1">IFERROR(IF(ISNUMBER(CJ11),IF(CI12 = CI5, 0, IF(CI12 = "", 0, CV12 + CT12))," ")," ")</f>
        <v xml:space="preserve"> </v>
      </c>
      <c r="CW11" s="60" t="str">
        <f ca="1">IFERROR(IF(ISNUMBER(CJ11),CU11 + CV11," ")," ")</f>
        <v xml:space="preserve"> </v>
      </c>
      <c r="CY11" s="16">
        <v>6</v>
      </c>
      <c r="CZ11" s="65"/>
      <c r="DA11" s="60" t="str">
        <f ca="1">IFERROR(MATCH(INDIRECT("CZ11"),'1.Locations'!B2:B21, 0) - 1," ")</f>
        <v xml:space="preserve"> </v>
      </c>
      <c r="DB11" s="60" t="e">
        <f ca="1">IFERROR(IF(ISNUMBER(DA11),INDEX('1.Locations'!D2:D21,DA11 + 1),NA()),NA())</f>
        <v>#N/A</v>
      </c>
      <c r="DC11" s="60" t="e">
        <f ca="1">IFERROR(IF(ISNUMBER(DA11),INDEX('1.Locations'!E2:E21,DA11 + 1),NA()),NA())</f>
        <v>#N/A</v>
      </c>
      <c r="DD11" s="61" t="str">
        <f ca="1">IFERROR(IF(ISNUMBER(DA11),INDEX('2.Distances'!C2:C401,DA10*20+DA11+ 1) +DD10," ")," ")</f>
        <v xml:space="preserve"> </v>
      </c>
      <c r="DE11" s="62" t="str">
        <f ca="1">IFERROR(IF(ISNUMBER(DA11),'3.Vehicles'!F2 * INDEX('2.Distances'!D2:D401,DA10*20+DA11 + 1) +DE10," ")," ")</f>
        <v xml:space="preserve"> </v>
      </c>
      <c r="DF11" s="63" t="str">
        <f ca="1">IFERROR(IF(ISNUMBER(DA11),'3.Vehicles'!F2 * INDEX('2.Distances'!D2:D401,DA10*20+DA11 + 1) +DG10," ")," ")</f>
        <v xml:space="preserve"> </v>
      </c>
      <c r="DG11" s="63" t="str">
        <f ca="1">IFERROR(IF(AND(DA5&lt;&gt;DA11,ISNUMBER(DF11)),INDEX('1.Locations'!I2:I21,DA11 + 1) + MAX(DF11,INDEX('1.Locations'!F2:F21,DA11 + 1))," ")," ")</f>
        <v xml:space="preserve"> </v>
      </c>
      <c r="DH11" s="62" t="str">
        <f ca="1">IFERROR(IF(AND(CZ11 = CZ5, CZ12 = ""), DF11 - DG5, DG11 - DG5)," ")</f>
        <v xml:space="preserve"> </v>
      </c>
      <c r="DI11" s="60" t="str">
        <f ca="1">IFERROR(IF(ISNUMBER(DA11),INDEX('1.Locations'!L2:L21,DA11 + 1) + DI10," ")," ")</f>
        <v xml:space="preserve"> </v>
      </c>
      <c r="DJ11" s="61" t="str">
        <f ca="1">IFERROR(IF(ISNUMBER(DA11),INDEX('1.Locations'!J2:J21,DA11 + 1)," ")," ")</f>
        <v xml:space="preserve"> </v>
      </c>
      <c r="DK11" s="61" t="str">
        <f ca="1">IFERROR(IF(ISNUMBER(DA11),INDEX('1.Locations'!K2:K21,DA11 + 1)," ")," ")</f>
        <v xml:space="preserve"> </v>
      </c>
      <c r="DL11" s="61" t="str">
        <f ca="1">IFERROR(IF(ISNUMBER(DA11),IF(CZ11 = CZ5, 0, DJ11 + DL10)," ")," ")</f>
        <v xml:space="preserve"> </v>
      </c>
      <c r="DM11" s="61" t="str">
        <f ca="1">IFERROR(IF(ISNUMBER(DA11),IF(CZ12 = CZ5, 0, IF(CZ12 = "", 0, DM12 + DK12))," ")," ")</f>
        <v xml:space="preserve"> </v>
      </c>
      <c r="DN11" s="60" t="str">
        <f ca="1">IFERROR(IF(ISNUMBER(DA11),DL11 + DM11," ")," ")</f>
        <v xml:space="preserve"> </v>
      </c>
      <c r="DP11" s="16">
        <v>6</v>
      </c>
      <c r="DQ11" s="65"/>
      <c r="DR11" s="60" t="str">
        <f ca="1">IFERROR(MATCH(INDIRECT("DQ11"),'1.Locations'!B2:B21, 0) - 1," ")</f>
        <v xml:space="preserve"> </v>
      </c>
      <c r="DS11" s="60" t="e">
        <f ca="1">IFERROR(IF(ISNUMBER(DR11),INDEX('1.Locations'!D2:D21,DR11 + 1),NA()),NA())</f>
        <v>#N/A</v>
      </c>
      <c r="DT11" s="60" t="e">
        <f ca="1">IFERROR(IF(ISNUMBER(DR11),INDEX('1.Locations'!E2:E21,DR11 + 1),NA()),NA())</f>
        <v>#N/A</v>
      </c>
      <c r="DU11" s="61" t="str">
        <f ca="1">IFERROR(IF(ISNUMBER(DR11),INDEX('2.Distances'!C2:C401,DR10*20+DR11+ 1) +DU10," ")," ")</f>
        <v xml:space="preserve"> </v>
      </c>
      <c r="DV11" s="62" t="str">
        <f ca="1">IFERROR(IF(ISNUMBER(DR11),'3.Vehicles'!F2 * INDEX('2.Distances'!D2:D401,DR10*20+DR11 + 1) +DV10," ")," ")</f>
        <v xml:space="preserve"> </v>
      </c>
      <c r="DW11" s="63" t="str">
        <f ca="1">IFERROR(IF(ISNUMBER(DR11),'3.Vehicles'!F2 * INDEX('2.Distances'!D2:D401,DR10*20+DR11 + 1) +DX10," ")," ")</f>
        <v xml:space="preserve"> </v>
      </c>
      <c r="DX11" s="63" t="str">
        <f ca="1">IFERROR(IF(AND(DR5&lt;&gt;DR11,ISNUMBER(DW11)),INDEX('1.Locations'!I2:I21,DR11 + 1) + MAX(DW11,INDEX('1.Locations'!F2:F21,DR11 + 1))," ")," ")</f>
        <v xml:space="preserve"> </v>
      </c>
      <c r="DY11" s="62" t="str">
        <f ca="1">IFERROR(IF(AND(DQ11 = DQ5, DQ12 = ""), DW11 - DX5, DX11 - DX5)," ")</f>
        <v xml:space="preserve"> </v>
      </c>
      <c r="DZ11" s="60" t="str">
        <f ca="1">IFERROR(IF(ISNUMBER(DR11),INDEX('1.Locations'!L2:L21,DR11 + 1) + DZ10," ")," ")</f>
        <v xml:space="preserve"> </v>
      </c>
      <c r="EA11" s="61" t="str">
        <f ca="1">IFERROR(IF(ISNUMBER(DR11),INDEX('1.Locations'!J2:J21,DR11 + 1)," ")," ")</f>
        <v xml:space="preserve"> </v>
      </c>
      <c r="EB11" s="61" t="str">
        <f ca="1">IFERROR(IF(ISNUMBER(DR11),INDEX('1.Locations'!K2:K21,DR11 + 1)," ")," ")</f>
        <v xml:space="preserve"> </v>
      </c>
      <c r="EC11" s="61" t="str">
        <f ca="1">IFERROR(IF(ISNUMBER(DR11),IF(DQ11 = DQ5, 0, EA11 + EC10)," ")," ")</f>
        <v xml:space="preserve"> </v>
      </c>
      <c r="ED11" s="61" t="str">
        <f ca="1">IFERROR(IF(ISNUMBER(DR11),IF(DQ12 = DQ5, 0, IF(DQ12 = "", 0, ED12 + EB12))," ")," ")</f>
        <v xml:space="preserve"> </v>
      </c>
      <c r="EE11" s="60" t="str">
        <f ca="1">IFERROR(IF(ISNUMBER(DR11),EC11 + ED11," ")," ")</f>
        <v xml:space="preserve"> </v>
      </c>
      <c r="EG11" s="16">
        <v>6</v>
      </c>
      <c r="EH11" s="65"/>
      <c r="EI11" s="60" t="str">
        <f ca="1">IFERROR(MATCH(INDIRECT("EH11"),'1.Locations'!B2:B21, 0) - 1," ")</f>
        <v xml:space="preserve"> </v>
      </c>
      <c r="EJ11" s="60" t="e">
        <f ca="1">IFERROR(IF(ISNUMBER(EI11),INDEX('1.Locations'!D2:D21,EI11 + 1),NA()),NA())</f>
        <v>#N/A</v>
      </c>
      <c r="EK11" s="60" t="e">
        <f ca="1">IFERROR(IF(ISNUMBER(EI11),INDEX('1.Locations'!E2:E21,EI11 + 1),NA()),NA())</f>
        <v>#N/A</v>
      </c>
      <c r="EL11" s="61" t="str">
        <f ca="1">IFERROR(IF(ISNUMBER(EI11),INDEX('2.Distances'!C2:C401,EI10*20+EI11+ 1) +EL10," ")," ")</f>
        <v xml:space="preserve"> </v>
      </c>
      <c r="EM11" s="62" t="str">
        <f ca="1">IFERROR(IF(ISNUMBER(EI11),'3.Vehicles'!F2 * INDEX('2.Distances'!D2:D401,EI10*20+EI11 + 1) +EM10," ")," ")</f>
        <v xml:space="preserve"> </v>
      </c>
      <c r="EN11" s="63" t="str">
        <f ca="1">IFERROR(IF(ISNUMBER(EI11),'3.Vehicles'!F2 * INDEX('2.Distances'!D2:D401,EI10*20+EI11 + 1) +EO10," ")," ")</f>
        <v xml:space="preserve"> </v>
      </c>
      <c r="EO11" s="63" t="str">
        <f ca="1">IFERROR(IF(AND(EI5&lt;&gt;EI11,ISNUMBER(EN11)),INDEX('1.Locations'!I2:I21,EI11 + 1) + MAX(EN11,INDEX('1.Locations'!F2:F21,EI11 + 1))," ")," ")</f>
        <v xml:space="preserve"> </v>
      </c>
      <c r="EP11" s="62" t="str">
        <f ca="1">IFERROR(IF(AND(EH11 = EH5, EH12 = ""), EN11 - EO5, EO11 - EO5)," ")</f>
        <v xml:space="preserve"> </v>
      </c>
      <c r="EQ11" s="60" t="str">
        <f ca="1">IFERROR(IF(ISNUMBER(EI11),INDEX('1.Locations'!L2:L21,EI11 + 1) + EQ10," ")," ")</f>
        <v xml:space="preserve"> </v>
      </c>
      <c r="ER11" s="61" t="str">
        <f ca="1">IFERROR(IF(ISNUMBER(EI11),INDEX('1.Locations'!J2:J21,EI11 + 1)," ")," ")</f>
        <v xml:space="preserve"> </v>
      </c>
      <c r="ES11" s="61" t="str">
        <f ca="1">IFERROR(IF(ISNUMBER(EI11),INDEX('1.Locations'!K2:K21,EI11 + 1)," ")," ")</f>
        <v xml:space="preserve"> </v>
      </c>
      <c r="ET11" s="61" t="str">
        <f ca="1">IFERROR(IF(ISNUMBER(EI11),IF(EH11 = EH5, 0, ER11 + ET10)," ")," ")</f>
        <v xml:space="preserve"> </v>
      </c>
      <c r="EU11" s="61" t="str">
        <f ca="1">IFERROR(IF(ISNUMBER(EI11),IF(EH12 = EH5, 0, IF(EH12 = "", 0, EU12 + ES12))," ")," ")</f>
        <v xml:space="preserve"> </v>
      </c>
      <c r="EV11" s="60" t="str">
        <f ca="1">IFERROR(IF(ISNUMBER(EI11),ET11 + EU11," ")," ")</f>
        <v xml:space="preserve"> </v>
      </c>
      <c r="EX11" s="16">
        <v>6</v>
      </c>
      <c r="EY11" s="65"/>
      <c r="EZ11" s="60" t="str">
        <f ca="1">IFERROR(MATCH(INDIRECT("EY11"),'1.Locations'!B2:B21, 0) - 1," ")</f>
        <v xml:space="preserve"> </v>
      </c>
      <c r="FA11" s="60" t="e">
        <f ca="1">IFERROR(IF(ISNUMBER(EZ11),INDEX('1.Locations'!D2:D21,EZ11 + 1),NA()),NA())</f>
        <v>#N/A</v>
      </c>
      <c r="FB11" s="60" t="e">
        <f ca="1">IFERROR(IF(ISNUMBER(EZ11),INDEX('1.Locations'!E2:E21,EZ11 + 1),NA()),NA())</f>
        <v>#N/A</v>
      </c>
      <c r="FC11" s="61" t="str">
        <f ca="1">IFERROR(IF(ISNUMBER(EZ11),INDEX('2.Distances'!C2:C401,EZ10*20+EZ11+ 1) +FC10," ")," ")</f>
        <v xml:space="preserve"> </v>
      </c>
      <c r="FD11" s="62" t="str">
        <f ca="1">IFERROR(IF(ISNUMBER(EZ11),'3.Vehicles'!F2 * INDEX('2.Distances'!D2:D401,EZ10*20+EZ11 + 1) +FD10," ")," ")</f>
        <v xml:space="preserve"> </v>
      </c>
      <c r="FE11" s="63" t="str">
        <f ca="1">IFERROR(IF(ISNUMBER(EZ11),'3.Vehicles'!F2 * INDEX('2.Distances'!D2:D401,EZ10*20+EZ11 + 1) +FF10," ")," ")</f>
        <v xml:space="preserve"> </v>
      </c>
      <c r="FF11" s="63" t="str">
        <f ca="1">IFERROR(IF(AND(EZ5&lt;&gt;EZ11,ISNUMBER(FE11)),INDEX('1.Locations'!I2:I21,EZ11 + 1) + MAX(FE11,INDEX('1.Locations'!F2:F21,EZ11 + 1))," ")," ")</f>
        <v xml:space="preserve"> </v>
      </c>
      <c r="FG11" s="62" t="str">
        <f ca="1">IFERROR(IF(AND(EY11 = EY5, EY12 = ""), FE11 - FF5, FF11 - FF5)," ")</f>
        <v xml:space="preserve"> </v>
      </c>
      <c r="FH11" s="60" t="str">
        <f ca="1">IFERROR(IF(ISNUMBER(EZ11),INDEX('1.Locations'!L2:L21,EZ11 + 1) + FH10," ")," ")</f>
        <v xml:space="preserve"> </v>
      </c>
      <c r="FI11" s="61" t="str">
        <f ca="1">IFERROR(IF(ISNUMBER(EZ11),INDEX('1.Locations'!J2:J21,EZ11 + 1)," ")," ")</f>
        <v xml:space="preserve"> </v>
      </c>
      <c r="FJ11" s="61" t="str">
        <f ca="1">IFERROR(IF(ISNUMBER(EZ11),INDEX('1.Locations'!K2:K21,EZ11 + 1)," ")," ")</f>
        <v xml:space="preserve"> </v>
      </c>
      <c r="FK11" s="61" t="str">
        <f ca="1">IFERROR(IF(ISNUMBER(EZ11),IF(EY11 = EY5, 0, FI11 + FK10)," ")," ")</f>
        <v xml:space="preserve"> </v>
      </c>
      <c r="FL11" s="61" t="str">
        <f ca="1">IFERROR(IF(ISNUMBER(EZ11),IF(EY12 = EY5, 0, IF(EY12 = "", 0, FL12 + FJ12))," ")," ")</f>
        <v xml:space="preserve"> </v>
      </c>
      <c r="FM11" s="60" t="str">
        <f ca="1">IFERROR(IF(ISNUMBER(EZ11),FK11 + FL11," ")," ")</f>
        <v xml:space="preserve"> </v>
      </c>
    </row>
    <row r="12" spans="1:169" x14ac:dyDescent="0.3">
      <c r="A12" s="16">
        <v>7</v>
      </c>
      <c r="B12" s="59"/>
      <c r="C12" s="60" t="str">
        <f ca="1">IFERROR(MATCH(INDIRECT("B12"),'1.Locations'!B2:B21, 0) - 1," ")</f>
        <v xml:space="preserve"> </v>
      </c>
      <c r="D12" s="60" t="e">
        <f ca="1">IFERROR(IF(ISNUMBER(C12),INDEX('1.Locations'!D2:D21,C12 + 1),NA()),NA())</f>
        <v>#N/A</v>
      </c>
      <c r="E12" s="60" t="e">
        <f ca="1">IFERROR(IF(ISNUMBER(C12),INDEX('1.Locations'!E2:E21,C12 + 1),NA()),NA())</f>
        <v>#N/A</v>
      </c>
      <c r="F12" s="61" t="str">
        <f ca="1">IFERROR(IF(ISNUMBER(C12),INDEX('2.Distances'!C2:C401,C11*20+C12+ 1) +F11," ")," ")</f>
        <v xml:space="preserve"> </v>
      </c>
      <c r="G12" s="62" t="str">
        <f ca="1">IFERROR(IF(ISNUMBER(C12),'3.Vehicles'!F2 * INDEX('2.Distances'!D2:D401,C11*20+C12 + 1) +G11," ")," ")</f>
        <v xml:space="preserve"> </v>
      </c>
      <c r="H12" s="63" t="str">
        <f ca="1">IFERROR(IF(ISNUMBER(C12),'3.Vehicles'!F2 * INDEX('2.Distances'!D2:D401,C11*20+C12 + 1) +I11," ")," ")</f>
        <v xml:space="preserve"> </v>
      </c>
      <c r="I12" s="63" t="str">
        <f ca="1">IFERROR(IF(AND(C5&lt;&gt;C12,ISNUMBER(H12)),INDEX('1.Locations'!I2:I21,C12 + 1) + MAX(H12,INDEX('1.Locations'!F2:F21,C12 + 1))," ")," ")</f>
        <v xml:space="preserve"> </v>
      </c>
      <c r="J12" s="62" t="str">
        <f ca="1">IFERROR(IF(AND(B12 = B5, B13 = ""), H12 - I5, I12 - I5)," ")</f>
        <v xml:space="preserve"> </v>
      </c>
      <c r="K12" s="60" t="str">
        <f ca="1">IFERROR(IF(ISNUMBER(C12),INDEX('1.Locations'!L2:L21,C12 + 1) + K11," ")," ")</f>
        <v xml:space="preserve"> </v>
      </c>
      <c r="L12" s="61" t="str">
        <f ca="1">IFERROR(IF(ISNUMBER(C12),INDEX('1.Locations'!J2:J21,C12 + 1)," ")," ")</f>
        <v xml:space="preserve"> </v>
      </c>
      <c r="M12" s="61" t="str">
        <f ca="1">IFERROR(IF(ISNUMBER(C12),INDEX('1.Locations'!K2:K21,C12 + 1)," ")," ")</f>
        <v xml:space="preserve"> </v>
      </c>
      <c r="N12" s="61" t="str">
        <f ca="1">IFERROR(IF(ISNUMBER(C12),IF(B12 = B5, 0, L12 + N11)," ")," ")</f>
        <v xml:space="preserve"> </v>
      </c>
      <c r="O12" s="61" t="str">
        <f ca="1">IFERROR(IF(ISNUMBER(C12),IF(B13 = B5, 0, IF(B13 = "", 0, O13 + M13))," ")," ")</f>
        <v xml:space="preserve"> </v>
      </c>
      <c r="P12" s="60" t="str">
        <f ca="1">IFERROR(IF(ISNUMBER(C12),N12 + O12," ")," ")</f>
        <v xml:space="preserve"> </v>
      </c>
      <c r="R12" s="16">
        <v>7</v>
      </c>
      <c r="S12" s="59"/>
      <c r="T12" s="60" t="str">
        <f ca="1">IFERROR(MATCH(INDIRECT("S12"),'1.Locations'!B2:B21, 0) - 1," ")</f>
        <v xml:space="preserve"> </v>
      </c>
      <c r="U12" s="60" t="e">
        <f ca="1">IFERROR(IF(ISNUMBER(T12),INDEX('1.Locations'!D2:D21,T12 + 1),NA()),NA())</f>
        <v>#N/A</v>
      </c>
      <c r="V12" s="60" t="e">
        <f ca="1">IFERROR(IF(ISNUMBER(T12),INDEX('1.Locations'!E2:E21,T12 + 1),NA()),NA())</f>
        <v>#N/A</v>
      </c>
      <c r="W12" s="61" t="str">
        <f ca="1">IFERROR(IF(ISNUMBER(T12),INDEX('2.Distances'!C2:C401,T11*20+T12+ 1) +W11," ")," ")</f>
        <v xml:space="preserve"> </v>
      </c>
      <c r="X12" s="62" t="str">
        <f ca="1">IFERROR(IF(ISNUMBER(T12),'3.Vehicles'!F2 * INDEX('2.Distances'!D2:D401,T11*20+T12 + 1) +X11," ")," ")</f>
        <v xml:space="preserve"> </v>
      </c>
      <c r="Y12" s="63" t="str">
        <f ca="1">IFERROR(IF(ISNUMBER(T12),'3.Vehicles'!F2 * INDEX('2.Distances'!D2:D401,T11*20+T12 + 1) +Z11," ")," ")</f>
        <v xml:space="preserve"> </v>
      </c>
      <c r="Z12" s="63" t="str">
        <f ca="1">IFERROR(IF(AND(T5&lt;&gt;T12,ISNUMBER(Y12)),INDEX('1.Locations'!I2:I21,T12 + 1) + MAX(Y12,INDEX('1.Locations'!F2:F21,T12 + 1))," ")," ")</f>
        <v xml:space="preserve"> </v>
      </c>
      <c r="AA12" s="62" t="str">
        <f ca="1">IFERROR(IF(AND(S12 = S5, S13 = ""), Y12 - Z5, Z12 - Z5)," ")</f>
        <v xml:space="preserve"> </v>
      </c>
      <c r="AB12" s="60" t="str">
        <f ca="1">IFERROR(IF(ISNUMBER(T12),INDEX('1.Locations'!L2:L21,T12 + 1) + AB11," ")," ")</f>
        <v xml:space="preserve"> </v>
      </c>
      <c r="AC12" s="61" t="str">
        <f ca="1">IFERROR(IF(ISNUMBER(T12),INDEX('1.Locations'!J2:J21,T12 + 1)," ")," ")</f>
        <v xml:space="preserve"> </v>
      </c>
      <c r="AD12" s="61" t="str">
        <f ca="1">IFERROR(IF(ISNUMBER(T12),INDEX('1.Locations'!K2:K21,T12 + 1)," ")," ")</f>
        <v xml:space="preserve"> </v>
      </c>
      <c r="AE12" s="61" t="str">
        <f ca="1">IFERROR(IF(ISNUMBER(T12),IF(S12 = S5, 0, AC12 + AE11)," ")," ")</f>
        <v xml:space="preserve"> </v>
      </c>
      <c r="AF12" s="61" t="str">
        <f ca="1">IFERROR(IF(ISNUMBER(T12),IF(S13 = S5, 0, IF(S13 = "", 0, AF13 + AD13))," ")," ")</f>
        <v xml:space="preserve"> </v>
      </c>
      <c r="AG12" s="60" t="str">
        <f ca="1">IFERROR(IF(ISNUMBER(T12),AE12 + AF12," ")," ")</f>
        <v xml:space="preserve"> </v>
      </c>
      <c r="AI12" s="16">
        <v>7</v>
      </c>
      <c r="AJ12" s="59"/>
      <c r="AK12" s="60" t="str">
        <f ca="1">IFERROR(MATCH(INDIRECT("AJ12"),'1.Locations'!B2:B21, 0) - 1," ")</f>
        <v xml:space="preserve"> </v>
      </c>
      <c r="AL12" s="60" t="e">
        <f ca="1">IFERROR(IF(ISNUMBER(AK12),INDEX('1.Locations'!D2:D21,AK12 + 1),NA()),NA())</f>
        <v>#N/A</v>
      </c>
      <c r="AM12" s="60" t="e">
        <f ca="1">IFERROR(IF(ISNUMBER(AK12),INDEX('1.Locations'!E2:E21,AK12 + 1),NA()),NA())</f>
        <v>#N/A</v>
      </c>
      <c r="AN12" s="61" t="str">
        <f ca="1">IFERROR(IF(ISNUMBER(AK12),INDEX('2.Distances'!C2:C401,AK11*20+AK12+ 1) +AN11," ")," ")</f>
        <v xml:space="preserve"> </v>
      </c>
      <c r="AO12" s="62" t="str">
        <f ca="1">IFERROR(IF(ISNUMBER(AK12),'3.Vehicles'!F2 * INDEX('2.Distances'!D2:D401,AK11*20+AK12 + 1) +AO11," ")," ")</f>
        <v xml:space="preserve"> </v>
      </c>
      <c r="AP12" s="63" t="str">
        <f ca="1">IFERROR(IF(ISNUMBER(AK12),'3.Vehicles'!F2 * INDEX('2.Distances'!D2:D401,AK11*20+AK12 + 1) +AQ11," ")," ")</f>
        <v xml:space="preserve"> </v>
      </c>
      <c r="AQ12" s="63" t="str">
        <f ca="1">IFERROR(IF(AND(AK5&lt;&gt;AK12,ISNUMBER(AP12)),INDEX('1.Locations'!I2:I21,AK12 + 1) + MAX(AP12,INDEX('1.Locations'!F2:F21,AK12 + 1))," ")," ")</f>
        <v xml:space="preserve"> </v>
      </c>
      <c r="AR12" s="62" t="str">
        <f ca="1">IFERROR(IF(AND(AJ12 = AJ5, AJ13 = ""), AP12 - AQ5, AQ12 - AQ5)," ")</f>
        <v xml:space="preserve"> </v>
      </c>
      <c r="AS12" s="60" t="str">
        <f ca="1">IFERROR(IF(ISNUMBER(AK12),INDEX('1.Locations'!L2:L21,AK12 + 1) + AS11," ")," ")</f>
        <v xml:space="preserve"> </v>
      </c>
      <c r="AT12" s="61" t="str">
        <f ca="1">IFERROR(IF(ISNUMBER(AK12),INDEX('1.Locations'!J2:J21,AK12 + 1)," ")," ")</f>
        <v xml:space="preserve"> </v>
      </c>
      <c r="AU12" s="61" t="str">
        <f ca="1">IFERROR(IF(ISNUMBER(AK12),INDEX('1.Locations'!K2:K21,AK12 + 1)," ")," ")</f>
        <v xml:space="preserve"> </v>
      </c>
      <c r="AV12" s="61" t="str">
        <f ca="1">IFERROR(IF(ISNUMBER(AK12),IF(AJ12 = AJ5, 0, AT12 + AV11)," ")," ")</f>
        <v xml:space="preserve"> </v>
      </c>
      <c r="AW12" s="61" t="str">
        <f ca="1">IFERROR(IF(ISNUMBER(AK12),IF(AJ13 = AJ5, 0, IF(AJ13 = "", 0, AW13 + AU13))," ")," ")</f>
        <v xml:space="preserve"> </v>
      </c>
      <c r="AX12" s="60" t="str">
        <f ca="1">IFERROR(IF(ISNUMBER(AK12),AV12 + AW12," ")," ")</f>
        <v xml:space="preserve"> </v>
      </c>
      <c r="AZ12" s="16">
        <v>7</v>
      </c>
      <c r="BA12" s="59"/>
      <c r="BB12" s="60" t="str">
        <f ca="1">IFERROR(MATCH(INDIRECT("BA12"),'1.Locations'!B2:B21, 0) - 1," ")</f>
        <v xml:space="preserve"> </v>
      </c>
      <c r="BC12" s="60" t="e">
        <f ca="1">IFERROR(IF(ISNUMBER(BB12),INDEX('1.Locations'!D2:D21,BB12 + 1),NA()),NA())</f>
        <v>#N/A</v>
      </c>
      <c r="BD12" s="60" t="e">
        <f ca="1">IFERROR(IF(ISNUMBER(BB12),INDEX('1.Locations'!E2:E21,BB12 + 1),NA()),NA())</f>
        <v>#N/A</v>
      </c>
      <c r="BE12" s="61" t="str">
        <f ca="1">IFERROR(IF(ISNUMBER(BB12),INDEX('2.Distances'!C2:C401,BB11*20+BB12+ 1) +BE11," ")," ")</f>
        <v xml:space="preserve"> </v>
      </c>
      <c r="BF12" s="62" t="str">
        <f ca="1">IFERROR(IF(ISNUMBER(BB12),'3.Vehicles'!F2 * INDEX('2.Distances'!D2:D401,BB11*20+BB12 + 1) +BF11," ")," ")</f>
        <v xml:space="preserve"> </v>
      </c>
      <c r="BG12" s="63" t="str">
        <f ca="1">IFERROR(IF(ISNUMBER(BB12),'3.Vehicles'!F2 * INDEX('2.Distances'!D2:D401,BB11*20+BB12 + 1) +BH11," ")," ")</f>
        <v xml:space="preserve"> </v>
      </c>
      <c r="BH12" s="63" t="str">
        <f ca="1">IFERROR(IF(AND(BB5&lt;&gt;BB12,ISNUMBER(BG12)),INDEX('1.Locations'!I2:I21,BB12 + 1) + MAX(BG12,INDEX('1.Locations'!F2:F21,BB12 + 1))," ")," ")</f>
        <v xml:space="preserve"> </v>
      </c>
      <c r="BI12" s="62" t="str">
        <f ca="1">IFERROR(IF(AND(BA12 = BA5, BA13 = ""), BG12 - BH5, BH12 - BH5)," ")</f>
        <v xml:space="preserve"> </v>
      </c>
      <c r="BJ12" s="60" t="str">
        <f ca="1">IFERROR(IF(ISNUMBER(BB12),INDEX('1.Locations'!L2:L21,BB12 + 1) + BJ11," ")," ")</f>
        <v xml:space="preserve"> </v>
      </c>
      <c r="BK12" s="61" t="str">
        <f ca="1">IFERROR(IF(ISNUMBER(BB12),INDEX('1.Locations'!J2:J21,BB12 + 1)," ")," ")</f>
        <v xml:space="preserve"> </v>
      </c>
      <c r="BL12" s="61" t="str">
        <f ca="1">IFERROR(IF(ISNUMBER(BB12),INDEX('1.Locations'!K2:K21,BB12 + 1)," ")," ")</f>
        <v xml:space="preserve"> </v>
      </c>
      <c r="BM12" s="61" t="str">
        <f ca="1">IFERROR(IF(ISNUMBER(BB12),IF(BA12 = BA5, 0, BK12 + BM11)," ")," ")</f>
        <v xml:space="preserve"> </v>
      </c>
      <c r="BN12" s="61" t="str">
        <f ca="1">IFERROR(IF(ISNUMBER(BB12),IF(BA13 = BA5, 0, IF(BA13 = "", 0, BN13 + BL13))," ")," ")</f>
        <v xml:space="preserve"> </v>
      </c>
      <c r="BO12" s="60" t="str">
        <f ca="1">IFERROR(IF(ISNUMBER(BB12),BM12 + BN12," ")," ")</f>
        <v xml:space="preserve"> </v>
      </c>
      <c r="BQ12" s="16">
        <v>7</v>
      </c>
      <c r="BR12" s="59"/>
      <c r="BS12" s="60" t="str">
        <f ca="1">IFERROR(MATCH(INDIRECT("BR12"),'1.Locations'!B2:B21, 0) - 1," ")</f>
        <v xml:space="preserve"> </v>
      </c>
      <c r="BT12" s="60" t="e">
        <f ca="1">IFERROR(IF(ISNUMBER(BS12),INDEX('1.Locations'!D2:D21,BS12 + 1),NA()),NA())</f>
        <v>#N/A</v>
      </c>
      <c r="BU12" s="60" t="e">
        <f ca="1">IFERROR(IF(ISNUMBER(BS12),INDEX('1.Locations'!E2:E21,BS12 + 1),NA()),NA())</f>
        <v>#N/A</v>
      </c>
      <c r="BV12" s="61" t="str">
        <f ca="1">IFERROR(IF(ISNUMBER(BS12),INDEX('2.Distances'!C2:C401,BS11*20+BS12+ 1) +BV11," ")," ")</f>
        <v xml:space="preserve"> </v>
      </c>
      <c r="BW12" s="62" t="str">
        <f ca="1">IFERROR(IF(ISNUMBER(BS12),'3.Vehicles'!F2 * INDEX('2.Distances'!D2:D401,BS11*20+BS12 + 1) +BW11," ")," ")</f>
        <v xml:space="preserve"> </v>
      </c>
      <c r="BX12" s="63" t="str">
        <f ca="1">IFERROR(IF(ISNUMBER(BS12),'3.Vehicles'!F2 * INDEX('2.Distances'!D2:D401,BS11*20+BS12 + 1) +BY11," ")," ")</f>
        <v xml:space="preserve"> </v>
      </c>
      <c r="BY12" s="63" t="str">
        <f ca="1">IFERROR(IF(AND(BS5&lt;&gt;BS12,ISNUMBER(BX12)),INDEX('1.Locations'!I2:I21,BS12 + 1) + MAX(BX12,INDEX('1.Locations'!F2:F21,BS12 + 1))," ")," ")</f>
        <v xml:space="preserve"> </v>
      </c>
      <c r="BZ12" s="62" t="str">
        <f ca="1">IFERROR(IF(AND(BR12 = BR5, BR13 = ""), BX12 - BY5, BY12 - BY5)," ")</f>
        <v xml:space="preserve"> </v>
      </c>
      <c r="CA12" s="60" t="str">
        <f ca="1">IFERROR(IF(ISNUMBER(BS12),INDEX('1.Locations'!L2:L21,BS12 + 1) + CA11," ")," ")</f>
        <v xml:space="preserve"> </v>
      </c>
      <c r="CB12" s="61" t="str">
        <f ca="1">IFERROR(IF(ISNUMBER(BS12),INDEX('1.Locations'!J2:J21,BS12 + 1)," ")," ")</f>
        <v xml:space="preserve"> </v>
      </c>
      <c r="CC12" s="61" t="str">
        <f ca="1">IFERROR(IF(ISNUMBER(BS12),INDEX('1.Locations'!K2:K21,BS12 + 1)," ")," ")</f>
        <v xml:space="preserve"> </v>
      </c>
      <c r="CD12" s="61" t="str">
        <f ca="1">IFERROR(IF(ISNUMBER(BS12),IF(BR12 = BR5, 0, CB12 + CD11)," ")," ")</f>
        <v xml:space="preserve"> </v>
      </c>
      <c r="CE12" s="61" t="str">
        <f ca="1">IFERROR(IF(ISNUMBER(BS12),IF(BR13 = BR5, 0, IF(BR13 = "", 0, CE13 + CC13))," ")," ")</f>
        <v xml:space="preserve"> </v>
      </c>
      <c r="CF12" s="60" t="str">
        <f ca="1">IFERROR(IF(ISNUMBER(BS12),CD12 + CE12," ")," ")</f>
        <v xml:space="preserve"> </v>
      </c>
      <c r="CH12" s="16">
        <v>7</v>
      </c>
      <c r="CI12" s="59"/>
      <c r="CJ12" s="60" t="str">
        <f ca="1">IFERROR(MATCH(INDIRECT("CI12"),'1.Locations'!B2:B21, 0) - 1," ")</f>
        <v xml:space="preserve"> </v>
      </c>
      <c r="CK12" s="60" t="e">
        <f ca="1">IFERROR(IF(ISNUMBER(CJ12),INDEX('1.Locations'!D2:D21,CJ12 + 1),NA()),NA())</f>
        <v>#N/A</v>
      </c>
      <c r="CL12" s="60" t="e">
        <f ca="1">IFERROR(IF(ISNUMBER(CJ12),INDEX('1.Locations'!E2:E21,CJ12 + 1),NA()),NA())</f>
        <v>#N/A</v>
      </c>
      <c r="CM12" s="61" t="str">
        <f ca="1">IFERROR(IF(ISNUMBER(CJ12),INDEX('2.Distances'!C2:C401,CJ11*20+CJ12+ 1) +CM11," ")," ")</f>
        <v xml:space="preserve"> </v>
      </c>
      <c r="CN12" s="62" t="str">
        <f ca="1">IFERROR(IF(ISNUMBER(CJ12),'3.Vehicles'!F2 * INDEX('2.Distances'!D2:D401,CJ11*20+CJ12 + 1) +CN11," ")," ")</f>
        <v xml:space="preserve"> </v>
      </c>
      <c r="CO12" s="63" t="str">
        <f ca="1">IFERROR(IF(ISNUMBER(CJ12),'3.Vehicles'!F2 * INDEX('2.Distances'!D2:D401,CJ11*20+CJ12 + 1) +CP11," ")," ")</f>
        <v xml:space="preserve"> </v>
      </c>
      <c r="CP12" s="63" t="str">
        <f ca="1">IFERROR(IF(AND(CJ5&lt;&gt;CJ12,ISNUMBER(CO12)),INDEX('1.Locations'!I2:I21,CJ12 + 1) + MAX(CO12,INDEX('1.Locations'!F2:F21,CJ12 + 1))," ")," ")</f>
        <v xml:space="preserve"> </v>
      </c>
      <c r="CQ12" s="62" t="str">
        <f ca="1">IFERROR(IF(AND(CI12 = CI5, CI13 = ""), CO12 - CP5, CP12 - CP5)," ")</f>
        <v xml:space="preserve"> </v>
      </c>
      <c r="CR12" s="60" t="str">
        <f ca="1">IFERROR(IF(ISNUMBER(CJ12),INDEX('1.Locations'!L2:L21,CJ12 + 1) + CR11," ")," ")</f>
        <v xml:space="preserve"> </v>
      </c>
      <c r="CS12" s="61" t="str">
        <f ca="1">IFERROR(IF(ISNUMBER(CJ12),INDEX('1.Locations'!J2:J21,CJ12 + 1)," ")," ")</f>
        <v xml:space="preserve"> </v>
      </c>
      <c r="CT12" s="61" t="str">
        <f ca="1">IFERROR(IF(ISNUMBER(CJ12),INDEX('1.Locations'!K2:K21,CJ12 + 1)," ")," ")</f>
        <v xml:space="preserve"> </v>
      </c>
      <c r="CU12" s="61" t="str">
        <f ca="1">IFERROR(IF(ISNUMBER(CJ12),IF(CI12 = CI5, 0, CS12 + CU11)," ")," ")</f>
        <v xml:space="preserve"> </v>
      </c>
      <c r="CV12" s="61" t="str">
        <f ca="1">IFERROR(IF(ISNUMBER(CJ12),IF(CI13 = CI5, 0, IF(CI13 = "", 0, CV13 + CT13))," ")," ")</f>
        <v xml:space="preserve"> </v>
      </c>
      <c r="CW12" s="60" t="str">
        <f ca="1">IFERROR(IF(ISNUMBER(CJ12),CU12 + CV12," ")," ")</f>
        <v xml:space="preserve"> </v>
      </c>
      <c r="CY12" s="16">
        <v>7</v>
      </c>
      <c r="CZ12" s="59"/>
      <c r="DA12" s="60" t="str">
        <f ca="1">IFERROR(MATCH(INDIRECT("CZ12"),'1.Locations'!B2:B21, 0) - 1," ")</f>
        <v xml:space="preserve"> </v>
      </c>
      <c r="DB12" s="60" t="e">
        <f ca="1">IFERROR(IF(ISNUMBER(DA12),INDEX('1.Locations'!D2:D21,DA12 + 1),NA()),NA())</f>
        <v>#N/A</v>
      </c>
      <c r="DC12" s="60" t="e">
        <f ca="1">IFERROR(IF(ISNUMBER(DA12),INDEX('1.Locations'!E2:E21,DA12 + 1),NA()),NA())</f>
        <v>#N/A</v>
      </c>
      <c r="DD12" s="61" t="str">
        <f ca="1">IFERROR(IF(ISNUMBER(DA12),INDEX('2.Distances'!C2:C401,DA11*20+DA12+ 1) +DD11," ")," ")</f>
        <v xml:space="preserve"> </v>
      </c>
      <c r="DE12" s="62" t="str">
        <f ca="1">IFERROR(IF(ISNUMBER(DA12),'3.Vehicles'!F2 * INDEX('2.Distances'!D2:D401,DA11*20+DA12 + 1) +DE11," ")," ")</f>
        <v xml:space="preserve"> </v>
      </c>
      <c r="DF12" s="63" t="str">
        <f ca="1">IFERROR(IF(ISNUMBER(DA12),'3.Vehicles'!F2 * INDEX('2.Distances'!D2:D401,DA11*20+DA12 + 1) +DG11," ")," ")</f>
        <v xml:space="preserve"> </v>
      </c>
      <c r="DG12" s="63" t="str">
        <f ca="1">IFERROR(IF(AND(DA5&lt;&gt;DA12,ISNUMBER(DF12)),INDEX('1.Locations'!I2:I21,DA12 + 1) + MAX(DF12,INDEX('1.Locations'!F2:F21,DA12 + 1))," ")," ")</f>
        <v xml:space="preserve"> </v>
      </c>
      <c r="DH12" s="62" t="str">
        <f ca="1">IFERROR(IF(AND(CZ12 = CZ5, CZ13 = ""), DF12 - DG5, DG12 - DG5)," ")</f>
        <v xml:space="preserve"> </v>
      </c>
      <c r="DI12" s="60" t="str">
        <f ca="1">IFERROR(IF(ISNUMBER(DA12),INDEX('1.Locations'!L2:L21,DA12 + 1) + DI11," ")," ")</f>
        <v xml:space="preserve"> </v>
      </c>
      <c r="DJ12" s="61" t="str">
        <f ca="1">IFERROR(IF(ISNUMBER(DA12),INDEX('1.Locations'!J2:J21,DA12 + 1)," ")," ")</f>
        <v xml:space="preserve"> </v>
      </c>
      <c r="DK12" s="61" t="str">
        <f ca="1">IFERROR(IF(ISNUMBER(DA12),INDEX('1.Locations'!K2:K21,DA12 + 1)," ")," ")</f>
        <v xml:space="preserve"> </v>
      </c>
      <c r="DL12" s="61" t="str">
        <f ca="1">IFERROR(IF(ISNUMBER(DA12),IF(CZ12 = CZ5, 0, DJ12 + DL11)," ")," ")</f>
        <v xml:space="preserve"> </v>
      </c>
      <c r="DM12" s="61" t="str">
        <f ca="1">IFERROR(IF(ISNUMBER(DA12),IF(CZ13 = CZ5, 0, IF(CZ13 = "", 0, DM13 + DK13))," ")," ")</f>
        <v xml:space="preserve"> </v>
      </c>
      <c r="DN12" s="60" t="str">
        <f ca="1">IFERROR(IF(ISNUMBER(DA12),DL12 + DM12," ")," ")</f>
        <v xml:space="preserve"> </v>
      </c>
      <c r="DP12" s="16">
        <v>7</v>
      </c>
      <c r="DQ12" s="59"/>
      <c r="DR12" s="60" t="str">
        <f ca="1">IFERROR(MATCH(INDIRECT("DQ12"),'1.Locations'!B2:B21, 0) - 1," ")</f>
        <v xml:space="preserve"> </v>
      </c>
      <c r="DS12" s="60" t="e">
        <f ca="1">IFERROR(IF(ISNUMBER(DR12),INDEX('1.Locations'!D2:D21,DR12 + 1),NA()),NA())</f>
        <v>#N/A</v>
      </c>
      <c r="DT12" s="60" t="e">
        <f ca="1">IFERROR(IF(ISNUMBER(DR12),INDEX('1.Locations'!E2:E21,DR12 + 1),NA()),NA())</f>
        <v>#N/A</v>
      </c>
      <c r="DU12" s="61" t="str">
        <f ca="1">IFERROR(IF(ISNUMBER(DR12),INDEX('2.Distances'!C2:C401,DR11*20+DR12+ 1) +DU11," ")," ")</f>
        <v xml:space="preserve"> </v>
      </c>
      <c r="DV12" s="62" t="str">
        <f ca="1">IFERROR(IF(ISNUMBER(DR12),'3.Vehicles'!F2 * INDEX('2.Distances'!D2:D401,DR11*20+DR12 + 1) +DV11," ")," ")</f>
        <v xml:space="preserve"> </v>
      </c>
      <c r="DW12" s="63" t="str">
        <f ca="1">IFERROR(IF(ISNUMBER(DR12),'3.Vehicles'!F2 * INDEX('2.Distances'!D2:D401,DR11*20+DR12 + 1) +DX11," ")," ")</f>
        <v xml:space="preserve"> </v>
      </c>
      <c r="DX12" s="63" t="str">
        <f ca="1">IFERROR(IF(AND(DR5&lt;&gt;DR12,ISNUMBER(DW12)),INDEX('1.Locations'!I2:I21,DR12 + 1) + MAX(DW12,INDEX('1.Locations'!F2:F21,DR12 + 1))," ")," ")</f>
        <v xml:space="preserve"> </v>
      </c>
      <c r="DY12" s="62" t="str">
        <f ca="1">IFERROR(IF(AND(DQ12 = DQ5, DQ13 = ""), DW12 - DX5, DX12 - DX5)," ")</f>
        <v xml:space="preserve"> </v>
      </c>
      <c r="DZ12" s="60" t="str">
        <f ca="1">IFERROR(IF(ISNUMBER(DR12),INDEX('1.Locations'!L2:L21,DR12 + 1) + DZ11," ")," ")</f>
        <v xml:space="preserve"> </v>
      </c>
      <c r="EA12" s="61" t="str">
        <f ca="1">IFERROR(IF(ISNUMBER(DR12),INDEX('1.Locations'!J2:J21,DR12 + 1)," ")," ")</f>
        <v xml:space="preserve"> </v>
      </c>
      <c r="EB12" s="61" t="str">
        <f ca="1">IFERROR(IF(ISNUMBER(DR12),INDEX('1.Locations'!K2:K21,DR12 + 1)," ")," ")</f>
        <v xml:space="preserve"> </v>
      </c>
      <c r="EC12" s="61" t="str">
        <f ca="1">IFERROR(IF(ISNUMBER(DR12),IF(DQ12 = DQ5, 0, EA12 + EC11)," ")," ")</f>
        <v xml:space="preserve"> </v>
      </c>
      <c r="ED12" s="61" t="str">
        <f ca="1">IFERROR(IF(ISNUMBER(DR12),IF(DQ13 = DQ5, 0, IF(DQ13 = "", 0, ED13 + EB13))," ")," ")</f>
        <v xml:space="preserve"> </v>
      </c>
      <c r="EE12" s="60" t="str">
        <f ca="1">IFERROR(IF(ISNUMBER(DR12),EC12 + ED12," ")," ")</f>
        <v xml:space="preserve"> </v>
      </c>
      <c r="EG12" s="16">
        <v>7</v>
      </c>
      <c r="EH12" s="59"/>
      <c r="EI12" s="60" t="str">
        <f ca="1">IFERROR(MATCH(INDIRECT("EH12"),'1.Locations'!B2:B21, 0) - 1," ")</f>
        <v xml:space="preserve"> </v>
      </c>
      <c r="EJ12" s="60" t="e">
        <f ca="1">IFERROR(IF(ISNUMBER(EI12),INDEX('1.Locations'!D2:D21,EI12 + 1),NA()),NA())</f>
        <v>#N/A</v>
      </c>
      <c r="EK12" s="60" t="e">
        <f ca="1">IFERROR(IF(ISNUMBER(EI12),INDEX('1.Locations'!E2:E21,EI12 + 1),NA()),NA())</f>
        <v>#N/A</v>
      </c>
      <c r="EL12" s="61" t="str">
        <f ca="1">IFERROR(IF(ISNUMBER(EI12),INDEX('2.Distances'!C2:C401,EI11*20+EI12+ 1) +EL11," ")," ")</f>
        <v xml:space="preserve"> </v>
      </c>
      <c r="EM12" s="62" t="str">
        <f ca="1">IFERROR(IF(ISNUMBER(EI12),'3.Vehicles'!F2 * INDEX('2.Distances'!D2:D401,EI11*20+EI12 + 1) +EM11," ")," ")</f>
        <v xml:space="preserve"> </v>
      </c>
      <c r="EN12" s="63" t="str">
        <f ca="1">IFERROR(IF(ISNUMBER(EI12),'3.Vehicles'!F2 * INDEX('2.Distances'!D2:D401,EI11*20+EI12 + 1) +EO11," ")," ")</f>
        <v xml:space="preserve"> </v>
      </c>
      <c r="EO12" s="63" t="str">
        <f ca="1">IFERROR(IF(AND(EI5&lt;&gt;EI12,ISNUMBER(EN12)),INDEX('1.Locations'!I2:I21,EI12 + 1) + MAX(EN12,INDEX('1.Locations'!F2:F21,EI12 + 1))," ")," ")</f>
        <v xml:space="preserve"> </v>
      </c>
      <c r="EP12" s="62" t="str">
        <f ca="1">IFERROR(IF(AND(EH12 = EH5, EH13 = ""), EN12 - EO5, EO12 - EO5)," ")</f>
        <v xml:space="preserve"> </v>
      </c>
      <c r="EQ12" s="60" t="str">
        <f ca="1">IFERROR(IF(ISNUMBER(EI12),INDEX('1.Locations'!L2:L21,EI12 + 1) + EQ11," ")," ")</f>
        <v xml:space="preserve"> </v>
      </c>
      <c r="ER12" s="61" t="str">
        <f ca="1">IFERROR(IF(ISNUMBER(EI12),INDEX('1.Locations'!J2:J21,EI12 + 1)," ")," ")</f>
        <v xml:space="preserve"> </v>
      </c>
      <c r="ES12" s="61" t="str">
        <f ca="1">IFERROR(IF(ISNUMBER(EI12),INDEX('1.Locations'!K2:K21,EI12 + 1)," ")," ")</f>
        <v xml:space="preserve"> </v>
      </c>
      <c r="ET12" s="61" t="str">
        <f ca="1">IFERROR(IF(ISNUMBER(EI12),IF(EH12 = EH5, 0, ER12 + ET11)," ")," ")</f>
        <v xml:space="preserve"> </v>
      </c>
      <c r="EU12" s="61" t="str">
        <f ca="1">IFERROR(IF(ISNUMBER(EI12),IF(EH13 = EH5, 0, IF(EH13 = "", 0, EU13 + ES13))," ")," ")</f>
        <v xml:space="preserve"> </v>
      </c>
      <c r="EV12" s="60" t="str">
        <f ca="1">IFERROR(IF(ISNUMBER(EI12),ET12 + EU12," ")," ")</f>
        <v xml:space="preserve"> </v>
      </c>
      <c r="EX12" s="16">
        <v>7</v>
      </c>
      <c r="EY12" s="59"/>
      <c r="EZ12" s="60" t="str">
        <f ca="1">IFERROR(MATCH(INDIRECT("EY12"),'1.Locations'!B2:B21, 0) - 1," ")</f>
        <v xml:space="preserve"> </v>
      </c>
      <c r="FA12" s="60" t="e">
        <f ca="1">IFERROR(IF(ISNUMBER(EZ12),INDEX('1.Locations'!D2:D21,EZ12 + 1),NA()),NA())</f>
        <v>#N/A</v>
      </c>
      <c r="FB12" s="60" t="e">
        <f ca="1">IFERROR(IF(ISNUMBER(EZ12),INDEX('1.Locations'!E2:E21,EZ12 + 1),NA()),NA())</f>
        <v>#N/A</v>
      </c>
      <c r="FC12" s="61" t="str">
        <f ca="1">IFERROR(IF(ISNUMBER(EZ12),INDEX('2.Distances'!C2:C401,EZ11*20+EZ12+ 1) +FC11," ")," ")</f>
        <v xml:space="preserve"> </v>
      </c>
      <c r="FD12" s="62" t="str">
        <f ca="1">IFERROR(IF(ISNUMBER(EZ12),'3.Vehicles'!F2 * INDEX('2.Distances'!D2:D401,EZ11*20+EZ12 + 1) +FD11," ")," ")</f>
        <v xml:space="preserve"> </v>
      </c>
      <c r="FE12" s="63" t="str">
        <f ca="1">IFERROR(IF(ISNUMBER(EZ12),'3.Vehicles'!F2 * INDEX('2.Distances'!D2:D401,EZ11*20+EZ12 + 1) +FF11," ")," ")</f>
        <v xml:space="preserve"> </v>
      </c>
      <c r="FF12" s="63" t="str">
        <f ca="1">IFERROR(IF(AND(EZ5&lt;&gt;EZ12,ISNUMBER(FE12)),INDEX('1.Locations'!I2:I21,EZ12 + 1) + MAX(FE12,INDEX('1.Locations'!F2:F21,EZ12 + 1))," ")," ")</f>
        <v xml:space="preserve"> </v>
      </c>
      <c r="FG12" s="62" t="str">
        <f ca="1">IFERROR(IF(AND(EY12 = EY5, EY13 = ""), FE12 - FF5, FF12 - FF5)," ")</f>
        <v xml:space="preserve"> </v>
      </c>
      <c r="FH12" s="60" t="str">
        <f ca="1">IFERROR(IF(ISNUMBER(EZ12),INDEX('1.Locations'!L2:L21,EZ12 + 1) + FH11," ")," ")</f>
        <v xml:space="preserve"> </v>
      </c>
      <c r="FI12" s="61" t="str">
        <f ca="1">IFERROR(IF(ISNUMBER(EZ12),INDEX('1.Locations'!J2:J21,EZ12 + 1)," ")," ")</f>
        <v xml:space="preserve"> </v>
      </c>
      <c r="FJ12" s="61" t="str">
        <f ca="1">IFERROR(IF(ISNUMBER(EZ12),INDEX('1.Locations'!K2:K21,EZ12 + 1)," ")," ")</f>
        <v xml:space="preserve"> </v>
      </c>
      <c r="FK12" s="61" t="str">
        <f ca="1">IFERROR(IF(ISNUMBER(EZ12),IF(EY12 = EY5, 0, FI12 + FK11)," ")," ")</f>
        <v xml:space="preserve"> </v>
      </c>
      <c r="FL12" s="61" t="str">
        <f ca="1">IFERROR(IF(ISNUMBER(EZ12),IF(EY13 = EY5, 0, IF(EY13 = "", 0, FL13 + FJ13))," ")," ")</f>
        <v xml:space="preserve"> </v>
      </c>
      <c r="FM12" s="60" t="str">
        <f ca="1">IFERROR(IF(ISNUMBER(EZ12),FK12 + FL12," ")," ")</f>
        <v xml:space="preserve"> </v>
      </c>
    </row>
    <row r="13" spans="1:169" x14ac:dyDescent="0.3">
      <c r="A13" s="16">
        <v>8</v>
      </c>
      <c r="B13" s="65"/>
      <c r="C13" s="60" t="str">
        <f ca="1">IFERROR(MATCH(INDIRECT("B13"),'1.Locations'!B2:B21, 0) - 1," ")</f>
        <v xml:space="preserve"> </v>
      </c>
      <c r="D13" s="60" t="e">
        <f ca="1">IFERROR(IF(ISNUMBER(C13),INDEX('1.Locations'!D2:D21,C13 + 1),NA()),NA())</f>
        <v>#N/A</v>
      </c>
      <c r="E13" s="60" t="e">
        <f ca="1">IFERROR(IF(ISNUMBER(C13),INDEX('1.Locations'!E2:E21,C13 + 1),NA()),NA())</f>
        <v>#N/A</v>
      </c>
      <c r="F13" s="61" t="str">
        <f ca="1">IFERROR(IF(ISNUMBER(C13),INDEX('2.Distances'!C2:C401,C12*20+C13+ 1) +F12," ")," ")</f>
        <v xml:space="preserve"> </v>
      </c>
      <c r="G13" s="62" t="str">
        <f ca="1">IFERROR(IF(ISNUMBER(C13),'3.Vehicles'!F2 * INDEX('2.Distances'!D2:D401,C12*20+C13 + 1) +G12," ")," ")</f>
        <v xml:space="preserve"> </v>
      </c>
      <c r="H13" s="63" t="str">
        <f ca="1">IFERROR(IF(ISNUMBER(C13),'3.Vehicles'!F2 * INDEX('2.Distances'!D2:D401,C12*20+C13 + 1) +I12," ")," ")</f>
        <v xml:space="preserve"> </v>
      </c>
      <c r="I13" s="63" t="str">
        <f ca="1">IFERROR(IF(AND(C5&lt;&gt;C13,ISNUMBER(H13)),INDEX('1.Locations'!I2:I21,C13 + 1) + MAX(H13,INDEX('1.Locations'!F2:F21,C13 + 1))," ")," ")</f>
        <v xml:space="preserve"> </v>
      </c>
      <c r="J13" s="62" t="str">
        <f ca="1">IFERROR(IF(AND(B13 = B5, B14 = ""), H13 - I5, I13 - I5)," ")</f>
        <v xml:space="preserve"> </v>
      </c>
      <c r="K13" s="60" t="str">
        <f ca="1">IFERROR(IF(ISNUMBER(C13),INDEX('1.Locations'!L2:L21,C13 + 1) + K12," ")," ")</f>
        <v xml:space="preserve"> </v>
      </c>
      <c r="L13" s="61" t="str">
        <f ca="1">IFERROR(IF(ISNUMBER(C13),INDEX('1.Locations'!J2:J21,C13 + 1)," ")," ")</f>
        <v xml:space="preserve"> </v>
      </c>
      <c r="M13" s="61" t="str">
        <f ca="1">IFERROR(IF(ISNUMBER(C13),INDEX('1.Locations'!K2:K21,C13 + 1)," ")," ")</f>
        <v xml:space="preserve"> </v>
      </c>
      <c r="N13" s="61" t="str">
        <f ca="1">IFERROR(IF(ISNUMBER(C13),IF(B13 = B5, 0, L13 + N12)," ")," ")</f>
        <v xml:space="preserve"> </v>
      </c>
      <c r="O13" s="61" t="str">
        <f ca="1">IFERROR(IF(ISNUMBER(C13),IF(B14 = B5, 0, IF(B14 = "", 0, O14 + M14))," ")," ")</f>
        <v xml:space="preserve"> </v>
      </c>
      <c r="P13" s="60" t="str">
        <f ca="1">IFERROR(IF(ISNUMBER(C13),N13 + O13," ")," ")</f>
        <v xml:space="preserve"> </v>
      </c>
      <c r="R13" s="16">
        <v>8</v>
      </c>
      <c r="S13" s="65"/>
      <c r="T13" s="60" t="str">
        <f ca="1">IFERROR(MATCH(INDIRECT("S13"),'1.Locations'!B2:B21, 0) - 1," ")</f>
        <v xml:space="preserve"> </v>
      </c>
      <c r="U13" s="60" t="e">
        <f ca="1">IFERROR(IF(ISNUMBER(T13),INDEX('1.Locations'!D2:D21,T13 + 1),NA()),NA())</f>
        <v>#N/A</v>
      </c>
      <c r="V13" s="60" t="e">
        <f ca="1">IFERROR(IF(ISNUMBER(T13),INDEX('1.Locations'!E2:E21,T13 + 1),NA()),NA())</f>
        <v>#N/A</v>
      </c>
      <c r="W13" s="61" t="str">
        <f ca="1">IFERROR(IF(ISNUMBER(T13),INDEX('2.Distances'!C2:C401,T12*20+T13+ 1) +W12," ")," ")</f>
        <v xml:space="preserve"> </v>
      </c>
      <c r="X13" s="62" t="str">
        <f ca="1">IFERROR(IF(ISNUMBER(T13),'3.Vehicles'!F2 * INDEX('2.Distances'!D2:D401,T12*20+T13 + 1) +X12," ")," ")</f>
        <v xml:space="preserve"> </v>
      </c>
      <c r="Y13" s="63" t="str">
        <f ca="1">IFERROR(IF(ISNUMBER(T13),'3.Vehicles'!F2 * INDEX('2.Distances'!D2:D401,T12*20+T13 + 1) +Z12," ")," ")</f>
        <v xml:space="preserve"> </v>
      </c>
      <c r="Z13" s="63" t="str">
        <f ca="1">IFERROR(IF(AND(T5&lt;&gt;T13,ISNUMBER(Y13)),INDEX('1.Locations'!I2:I21,T13 + 1) + MAX(Y13,INDEX('1.Locations'!F2:F21,T13 + 1))," ")," ")</f>
        <v xml:space="preserve"> </v>
      </c>
      <c r="AA13" s="62" t="str">
        <f ca="1">IFERROR(IF(AND(S13 = S5, S14 = ""), Y13 - Z5, Z13 - Z5)," ")</f>
        <v xml:space="preserve"> </v>
      </c>
      <c r="AB13" s="60" t="str">
        <f ca="1">IFERROR(IF(ISNUMBER(T13),INDEX('1.Locations'!L2:L21,T13 + 1) + AB12," ")," ")</f>
        <v xml:space="preserve"> </v>
      </c>
      <c r="AC13" s="61" t="str">
        <f ca="1">IFERROR(IF(ISNUMBER(T13),INDEX('1.Locations'!J2:J21,T13 + 1)," ")," ")</f>
        <v xml:space="preserve"> </v>
      </c>
      <c r="AD13" s="61" t="str">
        <f ca="1">IFERROR(IF(ISNUMBER(T13),INDEX('1.Locations'!K2:K21,T13 + 1)," ")," ")</f>
        <v xml:space="preserve"> </v>
      </c>
      <c r="AE13" s="61" t="str">
        <f ca="1">IFERROR(IF(ISNUMBER(T13),IF(S13 = S5, 0, AC13 + AE12)," ")," ")</f>
        <v xml:space="preserve"> </v>
      </c>
      <c r="AF13" s="61" t="str">
        <f ca="1">IFERROR(IF(ISNUMBER(T13),IF(S14 = S5, 0, IF(S14 = "", 0, AF14 + AD14))," ")," ")</f>
        <v xml:space="preserve"> </v>
      </c>
      <c r="AG13" s="60" t="str">
        <f ca="1">IFERROR(IF(ISNUMBER(T13),AE13 + AF13," ")," ")</f>
        <v xml:space="preserve"> </v>
      </c>
      <c r="AI13" s="16">
        <v>8</v>
      </c>
      <c r="AJ13" s="65"/>
      <c r="AK13" s="60" t="str">
        <f ca="1">IFERROR(MATCH(INDIRECT("AJ13"),'1.Locations'!B2:B21, 0) - 1," ")</f>
        <v xml:space="preserve"> </v>
      </c>
      <c r="AL13" s="60" t="e">
        <f ca="1">IFERROR(IF(ISNUMBER(AK13),INDEX('1.Locations'!D2:D21,AK13 + 1),NA()),NA())</f>
        <v>#N/A</v>
      </c>
      <c r="AM13" s="60" t="e">
        <f ca="1">IFERROR(IF(ISNUMBER(AK13),INDEX('1.Locations'!E2:E21,AK13 + 1),NA()),NA())</f>
        <v>#N/A</v>
      </c>
      <c r="AN13" s="61" t="str">
        <f ca="1">IFERROR(IF(ISNUMBER(AK13),INDEX('2.Distances'!C2:C401,AK12*20+AK13+ 1) +AN12," ")," ")</f>
        <v xml:space="preserve"> </v>
      </c>
      <c r="AO13" s="62" t="str">
        <f ca="1">IFERROR(IF(ISNUMBER(AK13),'3.Vehicles'!F2 * INDEX('2.Distances'!D2:D401,AK12*20+AK13 + 1) +AO12," ")," ")</f>
        <v xml:space="preserve"> </v>
      </c>
      <c r="AP13" s="63" t="str">
        <f ca="1">IFERROR(IF(ISNUMBER(AK13),'3.Vehicles'!F2 * INDEX('2.Distances'!D2:D401,AK12*20+AK13 + 1) +AQ12," ")," ")</f>
        <v xml:space="preserve"> </v>
      </c>
      <c r="AQ13" s="63" t="str">
        <f ca="1">IFERROR(IF(AND(AK5&lt;&gt;AK13,ISNUMBER(AP13)),INDEX('1.Locations'!I2:I21,AK13 + 1) + MAX(AP13,INDEX('1.Locations'!F2:F21,AK13 + 1))," ")," ")</f>
        <v xml:space="preserve"> </v>
      </c>
      <c r="AR13" s="62" t="str">
        <f ca="1">IFERROR(IF(AND(AJ13 = AJ5, AJ14 = ""), AP13 - AQ5, AQ13 - AQ5)," ")</f>
        <v xml:space="preserve"> </v>
      </c>
      <c r="AS13" s="60" t="str">
        <f ca="1">IFERROR(IF(ISNUMBER(AK13),INDEX('1.Locations'!L2:L21,AK13 + 1) + AS12," ")," ")</f>
        <v xml:space="preserve"> </v>
      </c>
      <c r="AT13" s="61" t="str">
        <f ca="1">IFERROR(IF(ISNUMBER(AK13),INDEX('1.Locations'!J2:J21,AK13 + 1)," ")," ")</f>
        <v xml:space="preserve"> </v>
      </c>
      <c r="AU13" s="61" t="str">
        <f ca="1">IFERROR(IF(ISNUMBER(AK13),INDEX('1.Locations'!K2:K21,AK13 + 1)," ")," ")</f>
        <v xml:space="preserve"> </v>
      </c>
      <c r="AV13" s="61" t="str">
        <f ca="1">IFERROR(IF(ISNUMBER(AK13),IF(AJ13 = AJ5, 0, AT13 + AV12)," ")," ")</f>
        <v xml:space="preserve"> </v>
      </c>
      <c r="AW13" s="61" t="str">
        <f ca="1">IFERROR(IF(ISNUMBER(AK13),IF(AJ14 = AJ5, 0, IF(AJ14 = "", 0, AW14 + AU14))," ")," ")</f>
        <v xml:space="preserve"> </v>
      </c>
      <c r="AX13" s="60" t="str">
        <f ca="1">IFERROR(IF(ISNUMBER(AK13),AV13 + AW13," ")," ")</f>
        <v xml:space="preserve"> </v>
      </c>
      <c r="AZ13" s="16">
        <v>8</v>
      </c>
      <c r="BA13" s="65"/>
      <c r="BB13" s="60" t="str">
        <f ca="1">IFERROR(MATCH(INDIRECT("BA13"),'1.Locations'!B2:B21, 0) - 1," ")</f>
        <v xml:space="preserve"> </v>
      </c>
      <c r="BC13" s="60" t="e">
        <f ca="1">IFERROR(IF(ISNUMBER(BB13),INDEX('1.Locations'!D2:D21,BB13 + 1),NA()),NA())</f>
        <v>#N/A</v>
      </c>
      <c r="BD13" s="60" t="e">
        <f ca="1">IFERROR(IF(ISNUMBER(BB13),INDEX('1.Locations'!E2:E21,BB13 + 1),NA()),NA())</f>
        <v>#N/A</v>
      </c>
      <c r="BE13" s="61" t="str">
        <f ca="1">IFERROR(IF(ISNUMBER(BB13),INDEX('2.Distances'!C2:C401,BB12*20+BB13+ 1) +BE12," ")," ")</f>
        <v xml:space="preserve"> </v>
      </c>
      <c r="BF13" s="62" t="str">
        <f ca="1">IFERROR(IF(ISNUMBER(BB13),'3.Vehicles'!F2 * INDEX('2.Distances'!D2:D401,BB12*20+BB13 + 1) +BF12," ")," ")</f>
        <v xml:space="preserve"> </v>
      </c>
      <c r="BG13" s="63" t="str">
        <f ca="1">IFERROR(IF(ISNUMBER(BB13),'3.Vehicles'!F2 * INDEX('2.Distances'!D2:D401,BB12*20+BB13 + 1) +BH12," ")," ")</f>
        <v xml:space="preserve"> </v>
      </c>
      <c r="BH13" s="63" t="str">
        <f ca="1">IFERROR(IF(AND(BB5&lt;&gt;BB13,ISNUMBER(BG13)),INDEX('1.Locations'!I2:I21,BB13 + 1) + MAX(BG13,INDEX('1.Locations'!F2:F21,BB13 + 1))," ")," ")</f>
        <v xml:space="preserve"> </v>
      </c>
      <c r="BI13" s="62" t="str">
        <f ca="1">IFERROR(IF(AND(BA13 = BA5, BA14 = ""), BG13 - BH5, BH13 - BH5)," ")</f>
        <v xml:space="preserve"> </v>
      </c>
      <c r="BJ13" s="60" t="str">
        <f ca="1">IFERROR(IF(ISNUMBER(BB13),INDEX('1.Locations'!L2:L21,BB13 + 1) + BJ12," ")," ")</f>
        <v xml:space="preserve"> </v>
      </c>
      <c r="BK13" s="61" t="str">
        <f ca="1">IFERROR(IF(ISNUMBER(BB13),INDEX('1.Locations'!J2:J21,BB13 + 1)," ")," ")</f>
        <v xml:space="preserve"> </v>
      </c>
      <c r="BL13" s="61" t="str">
        <f ca="1">IFERROR(IF(ISNUMBER(BB13),INDEX('1.Locations'!K2:K21,BB13 + 1)," ")," ")</f>
        <v xml:space="preserve"> </v>
      </c>
      <c r="BM13" s="61" t="str">
        <f ca="1">IFERROR(IF(ISNUMBER(BB13),IF(BA13 = BA5, 0, BK13 + BM12)," ")," ")</f>
        <v xml:space="preserve"> </v>
      </c>
      <c r="BN13" s="61" t="str">
        <f ca="1">IFERROR(IF(ISNUMBER(BB13),IF(BA14 = BA5, 0, IF(BA14 = "", 0, BN14 + BL14))," ")," ")</f>
        <v xml:space="preserve"> </v>
      </c>
      <c r="BO13" s="60" t="str">
        <f ca="1">IFERROR(IF(ISNUMBER(BB13),BM13 + BN13," ")," ")</f>
        <v xml:space="preserve"> </v>
      </c>
      <c r="BQ13" s="16">
        <v>8</v>
      </c>
      <c r="BR13" s="65"/>
      <c r="BS13" s="60" t="str">
        <f ca="1">IFERROR(MATCH(INDIRECT("BR13"),'1.Locations'!B2:B21, 0) - 1," ")</f>
        <v xml:space="preserve"> </v>
      </c>
      <c r="BT13" s="60" t="e">
        <f ca="1">IFERROR(IF(ISNUMBER(BS13),INDEX('1.Locations'!D2:D21,BS13 + 1),NA()),NA())</f>
        <v>#N/A</v>
      </c>
      <c r="BU13" s="60" t="e">
        <f ca="1">IFERROR(IF(ISNUMBER(BS13),INDEX('1.Locations'!E2:E21,BS13 + 1),NA()),NA())</f>
        <v>#N/A</v>
      </c>
      <c r="BV13" s="61" t="str">
        <f ca="1">IFERROR(IF(ISNUMBER(BS13),INDEX('2.Distances'!C2:C401,BS12*20+BS13+ 1) +BV12," ")," ")</f>
        <v xml:space="preserve"> </v>
      </c>
      <c r="BW13" s="62" t="str">
        <f ca="1">IFERROR(IF(ISNUMBER(BS13),'3.Vehicles'!F2 * INDEX('2.Distances'!D2:D401,BS12*20+BS13 + 1) +BW12," ")," ")</f>
        <v xml:space="preserve"> </v>
      </c>
      <c r="BX13" s="63" t="str">
        <f ca="1">IFERROR(IF(ISNUMBER(BS13),'3.Vehicles'!F2 * INDEX('2.Distances'!D2:D401,BS12*20+BS13 + 1) +BY12," ")," ")</f>
        <v xml:space="preserve"> </v>
      </c>
      <c r="BY13" s="63" t="str">
        <f ca="1">IFERROR(IF(AND(BS5&lt;&gt;BS13,ISNUMBER(BX13)),INDEX('1.Locations'!I2:I21,BS13 + 1) + MAX(BX13,INDEX('1.Locations'!F2:F21,BS13 + 1))," ")," ")</f>
        <v xml:space="preserve"> </v>
      </c>
      <c r="BZ13" s="62" t="str">
        <f ca="1">IFERROR(IF(AND(BR13 = BR5, BR14 = ""), BX13 - BY5, BY13 - BY5)," ")</f>
        <v xml:space="preserve"> </v>
      </c>
      <c r="CA13" s="60" t="str">
        <f ca="1">IFERROR(IF(ISNUMBER(BS13),INDEX('1.Locations'!L2:L21,BS13 + 1) + CA12," ")," ")</f>
        <v xml:space="preserve"> </v>
      </c>
      <c r="CB13" s="61" t="str">
        <f ca="1">IFERROR(IF(ISNUMBER(BS13),INDEX('1.Locations'!J2:J21,BS13 + 1)," ")," ")</f>
        <v xml:space="preserve"> </v>
      </c>
      <c r="CC13" s="61" t="str">
        <f ca="1">IFERROR(IF(ISNUMBER(BS13),INDEX('1.Locations'!K2:K21,BS13 + 1)," ")," ")</f>
        <v xml:space="preserve"> </v>
      </c>
      <c r="CD13" s="61" t="str">
        <f ca="1">IFERROR(IF(ISNUMBER(BS13),IF(BR13 = BR5, 0, CB13 + CD12)," ")," ")</f>
        <v xml:space="preserve"> </v>
      </c>
      <c r="CE13" s="61" t="str">
        <f ca="1">IFERROR(IF(ISNUMBER(BS13),IF(BR14 = BR5, 0, IF(BR14 = "", 0, CE14 + CC14))," ")," ")</f>
        <v xml:space="preserve"> </v>
      </c>
      <c r="CF13" s="60" t="str">
        <f ca="1">IFERROR(IF(ISNUMBER(BS13),CD13 + CE13," ")," ")</f>
        <v xml:space="preserve"> </v>
      </c>
      <c r="CH13" s="16">
        <v>8</v>
      </c>
      <c r="CI13" s="65"/>
      <c r="CJ13" s="60" t="str">
        <f ca="1">IFERROR(MATCH(INDIRECT("CI13"),'1.Locations'!B2:B21, 0) - 1," ")</f>
        <v xml:space="preserve"> </v>
      </c>
      <c r="CK13" s="60" t="e">
        <f ca="1">IFERROR(IF(ISNUMBER(CJ13),INDEX('1.Locations'!D2:D21,CJ13 + 1),NA()),NA())</f>
        <v>#N/A</v>
      </c>
      <c r="CL13" s="60" t="e">
        <f ca="1">IFERROR(IF(ISNUMBER(CJ13),INDEX('1.Locations'!E2:E21,CJ13 + 1),NA()),NA())</f>
        <v>#N/A</v>
      </c>
      <c r="CM13" s="61" t="str">
        <f ca="1">IFERROR(IF(ISNUMBER(CJ13),INDEX('2.Distances'!C2:C401,CJ12*20+CJ13+ 1) +CM12," ")," ")</f>
        <v xml:space="preserve"> </v>
      </c>
      <c r="CN13" s="62" t="str">
        <f ca="1">IFERROR(IF(ISNUMBER(CJ13),'3.Vehicles'!F2 * INDEX('2.Distances'!D2:D401,CJ12*20+CJ13 + 1) +CN12," ")," ")</f>
        <v xml:space="preserve"> </v>
      </c>
      <c r="CO13" s="63" t="str">
        <f ca="1">IFERROR(IF(ISNUMBER(CJ13),'3.Vehicles'!F2 * INDEX('2.Distances'!D2:D401,CJ12*20+CJ13 + 1) +CP12," ")," ")</f>
        <v xml:space="preserve"> </v>
      </c>
      <c r="CP13" s="63" t="str">
        <f ca="1">IFERROR(IF(AND(CJ5&lt;&gt;CJ13,ISNUMBER(CO13)),INDEX('1.Locations'!I2:I21,CJ13 + 1) + MAX(CO13,INDEX('1.Locations'!F2:F21,CJ13 + 1))," ")," ")</f>
        <v xml:space="preserve"> </v>
      </c>
      <c r="CQ13" s="62" t="str">
        <f ca="1">IFERROR(IF(AND(CI13 = CI5, CI14 = ""), CO13 - CP5, CP13 - CP5)," ")</f>
        <v xml:space="preserve"> </v>
      </c>
      <c r="CR13" s="60" t="str">
        <f ca="1">IFERROR(IF(ISNUMBER(CJ13),INDEX('1.Locations'!L2:L21,CJ13 + 1) + CR12," ")," ")</f>
        <v xml:space="preserve"> </v>
      </c>
      <c r="CS13" s="61" t="str">
        <f ca="1">IFERROR(IF(ISNUMBER(CJ13),INDEX('1.Locations'!J2:J21,CJ13 + 1)," ")," ")</f>
        <v xml:space="preserve"> </v>
      </c>
      <c r="CT13" s="61" t="str">
        <f ca="1">IFERROR(IF(ISNUMBER(CJ13),INDEX('1.Locations'!K2:K21,CJ13 + 1)," ")," ")</f>
        <v xml:space="preserve"> </v>
      </c>
      <c r="CU13" s="61" t="str">
        <f ca="1">IFERROR(IF(ISNUMBER(CJ13),IF(CI13 = CI5, 0, CS13 + CU12)," ")," ")</f>
        <v xml:space="preserve"> </v>
      </c>
      <c r="CV13" s="61" t="str">
        <f ca="1">IFERROR(IF(ISNUMBER(CJ13),IF(CI14 = CI5, 0, IF(CI14 = "", 0, CV14 + CT14))," ")," ")</f>
        <v xml:space="preserve"> </v>
      </c>
      <c r="CW13" s="60" t="str">
        <f ca="1">IFERROR(IF(ISNUMBER(CJ13),CU13 + CV13," ")," ")</f>
        <v xml:space="preserve"> </v>
      </c>
      <c r="CY13" s="16">
        <v>8</v>
      </c>
      <c r="CZ13" s="65"/>
      <c r="DA13" s="60" t="str">
        <f ca="1">IFERROR(MATCH(INDIRECT("CZ13"),'1.Locations'!B2:B21, 0) - 1," ")</f>
        <v xml:space="preserve"> </v>
      </c>
      <c r="DB13" s="60" t="e">
        <f ca="1">IFERROR(IF(ISNUMBER(DA13),INDEX('1.Locations'!D2:D21,DA13 + 1),NA()),NA())</f>
        <v>#N/A</v>
      </c>
      <c r="DC13" s="60" t="e">
        <f ca="1">IFERROR(IF(ISNUMBER(DA13),INDEX('1.Locations'!E2:E21,DA13 + 1),NA()),NA())</f>
        <v>#N/A</v>
      </c>
      <c r="DD13" s="61" t="str">
        <f ca="1">IFERROR(IF(ISNUMBER(DA13),INDEX('2.Distances'!C2:C401,DA12*20+DA13+ 1) +DD12," ")," ")</f>
        <v xml:space="preserve"> </v>
      </c>
      <c r="DE13" s="62" t="str">
        <f ca="1">IFERROR(IF(ISNUMBER(DA13),'3.Vehicles'!F2 * INDEX('2.Distances'!D2:D401,DA12*20+DA13 + 1) +DE12," ")," ")</f>
        <v xml:space="preserve"> </v>
      </c>
      <c r="DF13" s="63" t="str">
        <f ca="1">IFERROR(IF(ISNUMBER(DA13),'3.Vehicles'!F2 * INDEX('2.Distances'!D2:D401,DA12*20+DA13 + 1) +DG12," ")," ")</f>
        <v xml:space="preserve"> </v>
      </c>
      <c r="DG13" s="63" t="str">
        <f ca="1">IFERROR(IF(AND(DA5&lt;&gt;DA13,ISNUMBER(DF13)),INDEX('1.Locations'!I2:I21,DA13 + 1) + MAX(DF13,INDEX('1.Locations'!F2:F21,DA13 + 1))," ")," ")</f>
        <v xml:space="preserve"> </v>
      </c>
      <c r="DH13" s="62" t="str">
        <f ca="1">IFERROR(IF(AND(CZ13 = CZ5, CZ14 = ""), DF13 - DG5, DG13 - DG5)," ")</f>
        <v xml:space="preserve"> </v>
      </c>
      <c r="DI13" s="60" t="str">
        <f ca="1">IFERROR(IF(ISNUMBER(DA13),INDEX('1.Locations'!L2:L21,DA13 + 1) + DI12," ")," ")</f>
        <v xml:space="preserve"> </v>
      </c>
      <c r="DJ13" s="61" t="str">
        <f ca="1">IFERROR(IF(ISNUMBER(DA13),INDEX('1.Locations'!J2:J21,DA13 + 1)," ")," ")</f>
        <v xml:space="preserve"> </v>
      </c>
      <c r="DK13" s="61" t="str">
        <f ca="1">IFERROR(IF(ISNUMBER(DA13),INDEX('1.Locations'!K2:K21,DA13 + 1)," ")," ")</f>
        <v xml:space="preserve"> </v>
      </c>
      <c r="DL13" s="61" t="str">
        <f ca="1">IFERROR(IF(ISNUMBER(DA13),IF(CZ13 = CZ5, 0, DJ13 + DL12)," ")," ")</f>
        <v xml:space="preserve"> </v>
      </c>
      <c r="DM13" s="61" t="str">
        <f ca="1">IFERROR(IF(ISNUMBER(DA13),IF(CZ14 = CZ5, 0, IF(CZ14 = "", 0, DM14 + DK14))," ")," ")</f>
        <v xml:space="preserve"> </v>
      </c>
      <c r="DN13" s="60" t="str">
        <f ca="1">IFERROR(IF(ISNUMBER(DA13),DL13 + DM13," ")," ")</f>
        <v xml:space="preserve"> </v>
      </c>
      <c r="DP13" s="16">
        <v>8</v>
      </c>
      <c r="DQ13" s="65"/>
      <c r="DR13" s="60" t="str">
        <f ca="1">IFERROR(MATCH(INDIRECT("DQ13"),'1.Locations'!B2:B21, 0) - 1," ")</f>
        <v xml:space="preserve"> </v>
      </c>
      <c r="DS13" s="60" t="e">
        <f ca="1">IFERROR(IF(ISNUMBER(DR13),INDEX('1.Locations'!D2:D21,DR13 + 1),NA()),NA())</f>
        <v>#N/A</v>
      </c>
      <c r="DT13" s="60" t="e">
        <f ca="1">IFERROR(IF(ISNUMBER(DR13),INDEX('1.Locations'!E2:E21,DR13 + 1),NA()),NA())</f>
        <v>#N/A</v>
      </c>
      <c r="DU13" s="61" t="str">
        <f ca="1">IFERROR(IF(ISNUMBER(DR13),INDEX('2.Distances'!C2:C401,DR12*20+DR13+ 1) +DU12," ")," ")</f>
        <v xml:space="preserve"> </v>
      </c>
      <c r="DV13" s="62" t="str">
        <f ca="1">IFERROR(IF(ISNUMBER(DR13),'3.Vehicles'!F2 * INDEX('2.Distances'!D2:D401,DR12*20+DR13 + 1) +DV12," ")," ")</f>
        <v xml:space="preserve"> </v>
      </c>
      <c r="DW13" s="63" t="str">
        <f ca="1">IFERROR(IF(ISNUMBER(DR13),'3.Vehicles'!F2 * INDEX('2.Distances'!D2:D401,DR12*20+DR13 + 1) +DX12," ")," ")</f>
        <v xml:space="preserve"> </v>
      </c>
      <c r="DX13" s="63" t="str">
        <f ca="1">IFERROR(IF(AND(DR5&lt;&gt;DR13,ISNUMBER(DW13)),INDEX('1.Locations'!I2:I21,DR13 + 1) + MAX(DW13,INDEX('1.Locations'!F2:F21,DR13 + 1))," ")," ")</f>
        <v xml:space="preserve"> </v>
      </c>
      <c r="DY13" s="62" t="str">
        <f ca="1">IFERROR(IF(AND(DQ13 = DQ5, DQ14 = ""), DW13 - DX5, DX13 - DX5)," ")</f>
        <v xml:space="preserve"> </v>
      </c>
      <c r="DZ13" s="60" t="str">
        <f ca="1">IFERROR(IF(ISNUMBER(DR13),INDEX('1.Locations'!L2:L21,DR13 + 1) + DZ12," ")," ")</f>
        <v xml:space="preserve"> </v>
      </c>
      <c r="EA13" s="61" t="str">
        <f ca="1">IFERROR(IF(ISNUMBER(DR13),INDEX('1.Locations'!J2:J21,DR13 + 1)," ")," ")</f>
        <v xml:space="preserve"> </v>
      </c>
      <c r="EB13" s="61" t="str">
        <f ca="1">IFERROR(IF(ISNUMBER(DR13),INDEX('1.Locations'!K2:K21,DR13 + 1)," ")," ")</f>
        <v xml:space="preserve"> </v>
      </c>
      <c r="EC13" s="61" t="str">
        <f ca="1">IFERROR(IF(ISNUMBER(DR13),IF(DQ13 = DQ5, 0, EA13 + EC12)," ")," ")</f>
        <v xml:space="preserve"> </v>
      </c>
      <c r="ED13" s="61" t="str">
        <f ca="1">IFERROR(IF(ISNUMBER(DR13),IF(DQ14 = DQ5, 0, IF(DQ14 = "", 0, ED14 + EB14))," ")," ")</f>
        <v xml:space="preserve"> </v>
      </c>
      <c r="EE13" s="60" t="str">
        <f ca="1">IFERROR(IF(ISNUMBER(DR13),EC13 + ED13," ")," ")</f>
        <v xml:space="preserve"> </v>
      </c>
      <c r="EG13" s="16">
        <v>8</v>
      </c>
      <c r="EH13" s="65"/>
      <c r="EI13" s="60" t="str">
        <f ca="1">IFERROR(MATCH(INDIRECT("EH13"),'1.Locations'!B2:B21, 0) - 1," ")</f>
        <v xml:space="preserve"> </v>
      </c>
      <c r="EJ13" s="60" t="e">
        <f ca="1">IFERROR(IF(ISNUMBER(EI13),INDEX('1.Locations'!D2:D21,EI13 + 1),NA()),NA())</f>
        <v>#N/A</v>
      </c>
      <c r="EK13" s="60" t="e">
        <f ca="1">IFERROR(IF(ISNUMBER(EI13),INDEX('1.Locations'!E2:E21,EI13 + 1),NA()),NA())</f>
        <v>#N/A</v>
      </c>
      <c r="EL13" s="61" t="str">
        <f ca="1">IFERROR(IF(ISNUMBER(EI13),INDEX('2.Distances'!C2:C401,EI12*20+EI13+ 1) +EL12," ")," ")</f>
        <v xml:space="preserve"> </v>
      </c>
      <c r="EM13" s="62" t="str">
        <f ca="1">IFERROR(IF(ISNUMBER(EI13),'3.Vehicles'!F2 * INDEX('2.Distances'!D2:D401,EI12*20+EI13 + 1) +EM12," ")," ")</f>
        <v xml:space="preserve"> </v>
      </c>
      <c r="EN13" s="63" t="str">
        <f ca="1">IFERROR(IF(ISNUMBER(EI13),'3.Vehicles'!F2 * INDEX('2.Distances'!D2:D401,EI12*20+EI13 + 1) +EO12," ")," ")</f>
        <v xml:space="preserve"> </v>
      </c>
      <c r="EO13" s="63" t="str">
        <f ca="1">IFERROR(IF(AND(EI5&lt;&gt;EI13,ISNUMBER(EN13)),INDEX('1.Locations'!I2:I21,EI13 + 1) + MAX(EN13,INDEX('1.Locations'!F2:F21,EI13 + 1))," ")," ")</f>
        <v xml:space="preserve"> </v>
      </c>
      <c r="EP13" s="62" t="str">
        <f ca="1">IFERROR(IF(AND(EH13 = EH5, EH14 = ""), EN13 - EO5, EO13 - EO5)," ")</f>
        <v xml:space="preserve"> </v>
      </c>
      <c r="EQ13" s="60" t="str">
        <f ca="1">IFERROR(IF(ISNUMBER(EI13),INDEX('1.Locations'!L2:L21,EI13 + 1) + EQ12," ")," ")</f>
        <v xml:space="preserve"> </v>
      </c>
      <c r="ER13" s="61" t="str">
        <f ca="1">IFERROR(IF(ISNUMBER(EI13),INDEX('1.Locations'!J2:J21,EI13 + 1)," ")," ")</f>
        <v xml:space="preserve"> </v>
      </c>
      <c r="ES13" s="61" t="str">
        <f ca="1">IFERROR(IF(ISNUMBER(EI13),INDEX('1.Locations'!K2:K21,EI13 + 1)," ")," ")</f>
        <v xml:space="preserve"> </v>
      </c>
      <c r="ET13" s="61" t="str">
        <f ca="1">IFERROR(IF(ISNUMBER(EI13),IF(EH13 = EH5, 0, ER13 + ET12)," ")," ")</f>
        <v xml:space="preserve"> </v>
      </c>
      <c r="EU13" s="61" t="str">
        <f ca="1">IFERROR(IF(ISNUMBER(EI13),IF(EH14 = EH5, 0, IF(EH14 = "", 0, EU14 + ES14))," ")," ")</f>
        <v xml:space="preserve"> </v>
      </c>
      <c r="EV13" s="60" t="str">
        <f ca="1">IFERROR(IF(ISNUMBER(EI13),ET13 + EU13," ")," ")</f>
        <v xml:space="preserve"> </v>
      </c>
      <c r="EX13" s="16">
        <v>8</v>
      </c>
      <c r="EY13" s="65"/>
      <c r="EZ13" s="60" t="str">
        <f ca="1">IFERROR(MATCH(INDIRECT("EY13"),'1.Locations'!B2:B21, 0) - 1," ")</f>
        <v xml:space="preserve"> </v>
      </c>
      <c r="FA13" s="60" t="e">
        <f ca="1">IFERROR(IF(ISNUMBER(EZ13),INDEX('1.Locations'!D2:D21,EZ13 + 1),NA()),NA())</f>
        <v>#N/A</v>
      </c>
      <c r="FB13" s="60" t="e">
        <f ca="1">IFERROR(IF(ISNUMBER(EZ13),INDEX('1.Locations'!E2:E21,EZ13 + 1),NA()),NA())</f>
        <v>#N/A</v>
      </c>
      <c r="FC13" s="61" t="str">
        <f ca="1">IFERROR(IF(ISNUMBER(EZ13),INDEX('2.Distances'!C2:C401,EZ12*20+EZ13+ 1) +FC12," ")," ")</f>
        <v xml:space="preserve"> </v>
      </c>
      <c r="FD13" s="62" t="str">
        <f ca="1">IFERROR(IF(ISNUMBER(EZ13),'3.Vehicles'!F2 * INDEX('2.Distances'!D2:D401,EZ12*20+EZ13 + 1) +FD12," ")," ")</f>
        <v xml:space="preserve"> </v>
      </c>
      <c r="FE13" s="63" t="str">
        <f ca="1">IFERROR(IF(ISNUMBER(EZ13),'3.Vehicles'!F2 * INDEX('2.Distances'!D2:D401,EZ12*20+EZ13 + 1) +FF12," ")," ")</f>
        <v xml:space="preserve"> </v>
      </c>
      <c r="FF13" s="63" t="str">
        <f ca="1">IFERROR(IF(AND(EZ5&lt;&gt;EZ13,ISNUMBER(FE13)),INDEX('1.Locations'!I2:I21,EZ13 + 1) + MAX(FE13,INDEX('1.Locations'!F2:F21,EZ13 + 1))," ")," ")</f>
        <v xml:space="preserve"> </v>
      </c>
      <c r="FG13" s="62" t="str">
        <f ca="1">IFERROR(IF(AND(EY13 = EY5, EY14 = ""), FE13 - FF5, FF13 - FF5)," ")</f>
        <v xml:space="preserve"> </v>
      </c>
      <c r="FH13" s="60" t="str">
        <f ca="1">IFERROR(IF(ISNUMBER(EZ13),INDEX('1.Locations'!L2:L21,EZ13 + 1) + FH12," ")," ")</f>
        <v xml:space="preserve"> </v>
      </c>
      <c r="FI13" s="61" t="str">
        <f ca="1">IFERROR(IF(ISNUMBER(EZ13),INDEX('1.Locations'!J2:J21,EZ13 + 1)," ")," ")</f>
        <v xml:space="preserve"> </v>
      </c>
      <c r="FJ13" s="61" t="str">
        <f ca="1">IFERROR(IF(ISNUMBER(EZ13),INDEX('1.Locations'!K2:K21,EZ13 + 1)," ")," ")</f>
        <v xml:space="preserve"> </v>
      </c>
      <c r="FK13" s="61" t="str">
        <f ca="1">IFERROR(IF(ISNUMBER(EZ13),IF(EY13 = EY5, 0, FI13 + FK12)," ")," ")</f>
        <v xml:space="preserve"> </v>
      </c>
      <c r="FL13" s="61" t="str">
        <f ca="1">IFERROR(IF(ISNUMBER(EZ13),IF(EY14 = EY5, 0, IF(EY14 = "", 0, FL14 + FJ14))," ")," ")</f>
        <v xml:space="preserve"> </v>
      </c>
      <c r="FM13" s="60" t="str">
        <f ca="1">IFERROR(IF(ISNUMBER(EZ13),FK13 + FL13," ")," ")</f>
        <v xml:space="preserve"> </v>
      </c>
    </row>
    <row r="14" spans="1:169" x14ac:dyDescent="0.3">
      <c r="A14" s="16">
        <v>9</v>
      </c>
      <c r="B14" s="59"/>
      <c r="C14" s="60" t="str">
        <f ca="1">IFERROR(MATCH(INDIRECT("B14"),'1.Locations'!B2:B21, 0) - 1," ")</f>
        <v xml:space="preserve"> </v>
      </c>
      <c r="D14" s="60" t="e">
        <f ca="1">IFERROR(IF(ISNUMBER(C14),INDEX('1.Locations'!D2:D21,C14 + 1),NA()),NA())</f>
        <v>#N/A</v>
      </c>
      <c r="E14" s="60" t="e">
        <f ca="1">IFERROR(IF(ISNUMBER(C14),INDEX('1.Locations'!E2:E21,C14 + 1),NA()),NA())</f>
        <v>#N/A</v>
      </c>
      <c r="F14" s="61" t="str">
        <f ca="1">IFERROR(IF(ISNUMBER(C14),INDEX('2.Distances'!C2:C401,C13*20+C14+ 1) +F13," ")," ")</f>
        <v xml:space="preserve"> </v>
      </c>
      <c r="G14" s="62" t="str">
        <f ca="1">IFERROR(IF(ISNUMBER(C14),'3.Vehicles'!F2 * INDEX('2.Distances'!D2:D401,C13*20+C14 + 1) +G13," ")," ")</f>
        <v xml:space="preserve"> </v>
      </c>
      <c r="H14" s="63" t="str">
        <f ca="1">IFERROR(IF(ISNUMBER(C14),'3.Vehicles'!F2 * INDEX('2.Distances'!D2:D401,C13*20+C14 + 1) +I13," ")," ")</f>
        <v xml:space="preserve"> </v>
      </c>
      <c r="I14" s="63" t="str">
        <f ca="1">IFERROR(IF(AND(C5&lt;&gt;C14,ISNUMBER(H14)),INDEX('1.Locations'!I2:I21,C14 + 1) + MAX(H14,INDEX('1.Locations'!F2:F21,C14 + 1))," ")," ")</f>
        <v xml:space="preserve"> </v>
      </c>
      <c r="J14" s="62" t="str">
        <f ca="1">IFERROR(IF(AND(B14 = B5, B15 = ""), H14 - I5, I14 - I5)," ")</f>
        <v xml:space="preserve"> </v>
      </c>
      <c r="K14" s="60" t="str">
        <f ca="1">IFERROR(IF(ISNUMBER(C14),INDEX('1.Locations'!L2:L21,C14 + 1) + K13," ")," ")</f>
        <v xml:space="preserve"> </v>
      </c>
      <c r="L14" s="61" t="str">
        <f ca="1">IFERROR(IF(ISNUMBER(C14),INDEX('1.Locations'!J2:J21,C14 + 1)," ")," ")</f>
        <v xml:space="preserve"> </v>
      </c>
      <c r="M14" s="61" t="str">
        <f ca="1">IFERROR(IF(ISNUMBER(C14),INDEX('1.Locations'!K2:K21,C14 + 1)," ")," ")</f>
        <v xml:space="preserve"> </v>
      </c>
      <c r="N14" s="61" t="str">
        <f ca="1">IFERROR(IF(ISNUMBER(C14),IF(B14 = B5, 0, L14 + N13)," ")," ")</f>
        <v xml:space="preserve"> </v>
      </c>
      <c r="O14" s="61" t="str">
        <f ca="1">IFERROR(IF(ISNUMBER(C14),IF(B15 = B5, 0, IF(B15 = "", 0, O15 + M15))," ")," ")</f>
        <v xml:space="preserve"> </v>
      </c>
      <c r="P14" s="60" t="str">
        <f ca="1">IFERROR(IF(ISNUMBER(C14),N14 + O14," ")," ")</f>
        <v xml:space="preserve"> </v>
      </c>
      <c r="R14" s="16">
        <v>9</v>
      </c>
      <c r="S14" s="59"/>
      <c r="T14" s="60" t="str">
        <f ca="1">IFERROR(MATCH(INDIRECT("S14"),'1.Locations'!B2:B21, 0) - 1," ")</f>
        <v xml:space="preserve"> </v>
      </c>
      <c r="U14" s="60" t="e">
        <f ca="1">IFERROR(IF(ISNUMBER(T14),INDEX('1.Locations'!D2:D21,T14 + 1),NA()),NA())</f>
        <v>#N/A</v>
      </c>
      <c r="V14" s="60" t="e">
        <f ca="1">IFERROR(IF(ISNUMBER(T14),INDEX('1.Locations'!E2:E21,T14 + 1),NA()),NA())</f>
        <v>#N/A</v>
      </c>
      <c r="W14" s="61" t="str">
        <f ca="1">IFERROR(IF(ISNUMBER(T14),INDEX('2.Distances'!C2:C401,T13*20+T14+ 1) +W13," ")," ")</f>
        <v xml:space="preserve"> </v>
      </c>
      <c r="X14" s="62" t="str">
        <f ca="1">IFERROR(IF(ISNUMBER(T14),'3.Vehicles'!F2 * INDEX('2.Distances'!D2:D401,T13*20+T14 + 1) +X13," ")," ")</f>
        <v xml:space="preserve"> </v>
      </c>
      <c r="Y14" s="63" t="str">
        <f ca="1">IFERROR(IF(ISNUMBER(T14),'3.Vehicles'!F2 * INDEX('2.Distances'!D2:D401,T13*20+T14 + 1) +Z13," ")," ")</f>
        <v xml:space="preserve"> </v>
      </c>
      <c r="Z14" s="63" t="str">
        <f ca="1">IFERROR(IF(AND(T5&lt;&gt;T14,ISNUMBER(Y14)),INDEX('1.Locations'!I2:I21,T14 + 1) + MAX(Y14,INDEX('1.Locations'!F2:F21,T14 + 1))," ")," ")</f>
        <v xml:space="preserve"> </v>
      </c>
      <c r="AA14" s="62" t="str">
        <f ca="1">IFERROR(IF(AND(S14 = S5, S15 = ""), Y14 - Z5, Z14 - Z5)," ")</f>
        <v xml:space="preserve"> </v>
      </c>
      <c r="AB14" s="60" t="str">
        <f ca="1">IFERROR(IF(ISNUMBER(T14),INDEX('1.Locations'!L2:L21,T14 + 1) + AB13," ")," ")</f>
        <v xml:space="preserve"> </v>
      </c>
      <c r="AC14" s="61" t="str">
        <f ca="1">IFERROR(IF(ISNUMBER(T14),INDEX('1.Locations'!J2:J21,T14 + 1)," ")," ")</f>
        <v xml:space="preserve"> </v>
      </c>
      <c r="AD14" s="61" t="str">
        <f ca="1">IFERROR(IF(ISNUMBER(T14),INDEX('1.Locations'!K2:K21,T14 + 1)," ")," ")</f>
        <v xml:space="preserve"> </v>
      </c>
      <c r="AE14" s="61" t="str">
        <f ca="1">IFERROR(IF(ISNUMBER(T14),IF(S14 = S5, 0, AC14 + AE13)," ")," ")</f>
        <v xml:space="preserve"> </v>
      </c>
      <c r="AF14" s="61" t="str">
        <f ca="1">IFERROR(IF(ISNUMBER(T14),IF(S15 = S5, 0, IF(S15 = "", 0, AF15 + AD15))," ")," ")</f>
        <v xml:space="preserve"> </v>
      </c>
      <c r="AG14" s="60" t="str">
        <f ca="1">IFERROR(IF(ISNUMBER(T14),AE14 + AF14," ")," ")</f>
        <v xml:space="preserve"> </v>
      </c>
      <c r="AI14" s="16">
        <v>9</v>
      </c>
      <c r="AJ14" s="59"/>
      <c r="AK14" s="60" t="str">
        <f ca="1">IFERROR(MATCH(INDIRECT("AJ14"),'1.Locations'!B2:B21, 0) - 1," ")</f>
        <v xml:space="preserve"> </v>
      </c>
      <c r="AL14" s="60" t="e">
        <f ca="1">IFERROR(IF(ISNUMBER(AK14),INDEX('1.Locations'!D2:D21,AK14 + 1),NA()),NA())</f>
        <v>#N/A</v>
      </c>
      <c r="AM14" s="60" t="e">
        <f ca="1">IFERROR(IF(ISNUMBER(AK14),INDEX('1.Locations'!E2:E21,AK14 + 1),NA()),NA())</f>
        <v>#N/A</v>
      </c>
      <c r="AN14" s="61" t="str">
        <f ca="1">IFERROR(IF(ISNUMBER(AK14),INDEX('2.Distances'!C2:C401,AK13*20+AK14+ 1) +AN13," ")," ")</f>
        <v xml:space="preserve"> </v>
      </c>
      <c r="AO14" s="62" t="str">
        <f ca="1">IFERROR(IF(ISNUMBER(AK14),'3.Vehicles'!F2 * INDEX('2.Distances'!D2:D401,AK13*20+AK14 + 1) +AO13," ")," ")</f>
        <v xml:space="preserve"> </v>
      </c>
      <c r="AP14" s="63" t="str">
        <f ca="1">IFERROR(IF(ISNUMBER(AK14),'3.Vehicles'!F2 * INDEX('2.Distances'!D2:D401,AK13*20+AK14 + 1) +AQ13," ")," ")</f>
        <v xml:space="preserve"> </v>
      </c>
      <c r="AQ14" s="63" t="str">
        <f ca="1">IFERROR(IF(AND(AK5&lt;&gt;AK14,ISNUMBER(AP14)),INDEX('1.Locations'!I2:I21,AK14 + 1) + MAX(AP14,INDEX('1.Locations'!F2:F21,AK14 + 1))," ")," ")</f>
        <v xml:space="preserve"> </v>
      </c>
      <c r="AR14" s="62" t="str">
        <f ca="1">IFERROR(IF(AND(AJ14 = AJ5, AJ15 = ""), AP14 - AQ5, AQ14 - AQ5)," ")</f>
        <v xml:space="preserve"> </v>
      </c>
      <c r="AS14" s="60" t="str">
        <f ca="1">IFERROR(IF(ISNUMBER(AK14),INDEX('1.Locations'!L2:L21,AK14 + 1) + AS13," ")," ")</f>
        <v xml:space="preserve"> </v>
      </c>
      <c r="AT14" s="61" t="str">
        <f ca="1">IFERROR(IF(ISNUMBER(AK14),INDEX('1.Locations'!J2:J21,AK14 + 1)," ")," ")</f>
        <v xml:space="preserve"> </v>
      </c>
      <c r="AU14" s="61" t="str">
        <f ca="1">IFERROR(IF(ISNUMBER(AK14),INDEX('1.Locations'!K2:K21,AK14 + 1)," ")," ")</f>
        <v xml:space="preserve"> </v>
      </c>
      <c r="AV14" s="61" t="str">
        <f ca="1">IFERROR(IF(ISNUMBER(AK14),IF(AJ14 = AJ5, 0, AT14 + AV13)," ")," ")</f>
        <v xml:space="preserve"> </v>
      </c>
      <c r="AW14" s="61" t="str">
        <f ca="1">IFERROR(IF(ISNUMBER(AK14),IF(AJ15 = AJ5, 0, IF(AJ15 = "", 0, AW15 + AU15))," ")," ")</f>
        <v xml:space="preserve"> </v>
      </c>
      <c r="AX14" s="60" t="str">
        <f ca="1">IFERROR(IF(ISNUMBER(AK14),AV14 + AW14," ")," ")</f>
        <v xml:space="preserve"> </v>
      </c>
      <c r="AZ14" s="16">
        <v>9</v>
      </c>
      <c r="BA14" s="59"/>
      <c r="BB14" s="60" t="str">
        <f ca="1">IFERROR(MATCH(INDIRECT("BA14"),'1.Locations'!B2:B21, 0) - 1," ")</f>
        <v xml:space="preserve"> </v>
      </c>
      <c r="BC14" s="60" t="e">
        <f ca="1">IFERROR(IF(ISNUMBER(BB14),INDEX('1.Locations'!D2:D21,BB14 + 1),NA()),NA())</f>
        <v>#N/A</v>
      </c>
      <c r="BD14" s="60" t="e">
        <f ca="1">IFERROR(IF(ISNUMBER(BB14),INDEX('1.Locations'!E2:E21,BB14 + 1),NA()),NA())</f>
        <v>#N/A</v>
      </c>
      <c r="BE14" s="61" t="str">
        <f ca="1">IFERROR(IF(ISNUMBER(BB14),INDEX('2.Distances'!C2:C401,BB13*20+BB14+ 1) +BE13," ")," ")</f>
        <v xml:space="preserve"> </v>
      </c>
      <c r="BF14" s="62" t="str">
        <f ca="1">IFERROR(IF(ISNUMBER(BB14),'3.Vehicles'!F2 * INDEX('2.Distances'!D2:D401,BB13*20+BB14 + 1) +BF13," ")," ")</f>
        <v xml:space="preserve"> </v>
      </c>
      <c r="BG14" s="63" t="str">
        <f ca="1">IFERROR(IF(ISNUMBER(BB14),'3.Vehicles'!F2 * INDEX('2.Distances'!D2:D401,BB13*20+BB14 + 1) +BH13," ")," ")</f>
        <v xml:space="preserve"> </v>
      </c>
      <c r="BH14" s="63" t="str">
        <f ca="1">IFERROR(IF(AND(BB5&lt;&gt;BB14,ISNUMBER(BG14)),INDEX('1.Locations'!I2:I21,BB14 + 1) + MAX(BG14,INDEX('1.Locations'!F2:F21,BB14 + 1))," ")," ")</f>
        <v xml:space="preserve"> </v>
      </c>
      <c r="BI14" s="62" t="str">
        <f ca="1">IFERROR(IF(AND(BA14 = BA5, BA15 = ""), BG14 - BH5, BH14 - BH5)," ")</f>
        <v xml:space="preserve"> </v>
      </c>
      <c r="BJ14" s="60" t="str">
        <f ca="1">IFERROR(IF(ISNUMBER(BB14),INDEX('1.Locations'!L2:L21,BB14 + 1) + BJ13," ")," ")</f>
        <v xml:space="preserve"> </v>
      </c>
      <c r="BK14" s="61" t="str">
        <f ca="1">IFERROR(IF(ISNUMBER(BB14),INDEX('1.Locations'!J2:J21,BB14 + 1)," ")," ")</f>
        <v xml:space="preserve"> </v>
      </c>
      <c r="BL14" s="61" t="str">
        <f ca="1">IFERROR(IF(ISNUMBER(BB14),INDEX('1.Locations'!K2:K21,BB14 + 1)," ")," ")</f>
        <v xml:space="preserve"> </v>
      </c>
      <c r="BM14" s="61" t="str">
        <f ca="1">IFERROR(IF(ISNUMBER(BB14),IF(BA14 = BA5, 0, BK14 + BM13)," ")," ")</f>
        <v xml:space="preserve"> </v>
      </c>
      <c r="BN14" s="61" t="str">
        <f ca="1">IFERROR(IF(ISNUMBER(BB14),IF(BA15 = BA5, 0, IF(BA15 = "", 0, BN15 + BL15))," ")," ")</f>
        <v xml:space="preserve"> </v>
      </c>
      <c r="BO14" s="60" t="str">
        <f ca="1">IFERROR(IF(ISNUMBER(BB14),BM14 + BN14," ")," ")</f>
        <v xml:space="preserve"> </v>
      </c>
      <c r="BQ14" s="16">
        <v>9</v>
      </c>
      <c r="BR14" s="59"/>
      <c r="BS14" s="60" t="str">
        <f ca="1">IFERROR(MATCH(INDIRECT("BR14"),'1.Locations'!B2:B21, 0) - 1," ")</f>
        <v xml:space="preserve"> </v>
      </c>
      <c r="BT14" s="60" t="e">
        <f ca="1">IFERROR(IF(ISNUMBER(BS14),INDEX('1.Locations'!D2:D21,BS14 + 1),NA()),NA())</f>
        <v>#N/A</v>
      </c>
      <c r="BU14" s="60" t="e">
        <f ca="1">IFERROR(IF(ISNUMBER(BS14),INDEX('1.Locations'!E2:E21,BS14 + 1),NA()),NA())</f>
        <v>#N/A</v>
      </c>
      <c r="BV14" s="61" t="str">
        <f ca="1">IFERROR(IF(ISNUMBER(BS14),INDEX('2.Distances'!C2:C401,BS13*20+BS14+ 1) +BV13," ")," ")</f>
        <v xml:space="preserve"> </v>
      </c>
      <c r="BW14" s="62" t="str">
        <f ca="1">IFERROR(IF(ISNUMBER(BS14),'3.Vehicles'!F2 * INDEX('2.Distances'!D2:D401,BS13*20+BS14 + 1) +BW13," ")," ")</f>
        <v xml:space="preserve"> </v>
      </c>
      <c r="BX14" s="63" t="str">
        <f ca="1">IFERROR(IF(ISNUMBER(BS14),'3.Vehicles'!F2 * INDEX('2.Distances'!D2:D401,BS13*20+BS14 + 1) +BY13," ")," ")</f>
        <v xml:space="preserve"> </v>
      </c>
      <c r="BY14" s="63" t="str">
        <f ca="1">IFERROR(IF(AND(BS5&lt;&gt;BS14,ISNUMBER(BX14)),INDEX('1.Locations'!I2:I21,BS14 + 1) + MAX(BX14,INDEX('1.Locations'!F2:F21,BS14 + 1))," ")," ")</f>
        <v xml:space="preserve"> </v>
      </c>
      <c r="BZ14" s="62" t="str">
        <f ca="1">IFERROR(IF(AND(BR14 = BR5, BR15 = ""), BX14 - BY5, BY14 - BY5)," ")</f>
        <v xml:space="preserve"> </v>
      </c>
      <c r="CA14" s="60" t="str">
        <f ca="1">IFERROR(IF(ISNUMBER(BS14),INDEX('1.Locations'!L2:L21,BS14 + 1) + CA13," ")," ")</f>
        <v xml:space="preserve"> </v>
      </c>
      <c r="CB14" s="61" t="str">
        <f ca="1">IFERROR(IF(ISNUMBER(BS14),INDEX('1.Locations'!J2:J21,BS14 + 1)," ")," ")</f>
        <v xml:space="preserve"> </v>
      </c>
      <c r="CC14" s="61" t="str">
        <f ca="1">IFERROR(IF(ISNUMBER(BS14),INDEX('1.Locations'!K2:K21,BS14 + 1)," ")," ")</f>
        <v xml:space="preserve"> </v>
      </c>
      <c r="CD14" s="61" t="str">
        <f ca="1">IFERROR(IF(ISNUMBER(BS14),IF(BR14 = BR5, 0, CB14 + CD13)," ")," ")</f>
        <v xml:space="preserve"> </v>
      </c>
      <c r="CE14" s="61" t="str">
        <f ca="1">IFERROR(IF(ISNUMBER(BS14),IF(BR15 = BR5, 0, IF(BR15 = "", 0, CE15 + CC15))," ")," ")</f>
        <v xml:space="preserve"> </v>
      </c>
      <c r="CF14" s="60" t="str">
        <f ca="1">IFERROR(IF(ISNUMBER(BS14),CD14 + CE14," ")," ")</f>
        <v xml:space="preserve"> </v>
      </c>
      <c r="CH14" s="16">
        <v>9</v>
      </c>
      <c r="CI14" s="59"/>
      <c r="CJ14" s="60" t="str">
        <f ca="1">IFERROR(MATCH(INDIRECT("CI14"),'1.Locations'!B2:B21, 0) - 1," ")</f>
        <v xml:space="preserve"> </v>
      </c>
      <c r="CK14" s="60" t="e">
        <f ca="1">IFERROR(IF(ISNUMBER(CJ14),INDEX('1.Locations'!D2:D21,CJ14 + 1),NA()),NA())</f>
        <v>#N/A</v>
      </c>
      <c r="CL14" s="60" t="e">
        <f ca="1">IFERROR(IF(ISNUMBER(CJ14),INDEX('1.Locations'!E2:E21,CJ14 + 1),NA()),NA())</f>
        <v>#N/A</v>
      </c>
      <c r="CM14" s="61" t="str">
        <f ca="1">IFERROR(IF(ISNUMBER(CJ14),INDEX('2.Distances'!C2:C401,CJ13*20+CJ14+ 1) +CM13," ")," ")</f>
        <v xml:space="preserve"> </v>
      </c>
      <c r="CN14" s="62" t="str">
        <f ca="1">IFERROR(IF(ISNUMBER(CJ14),'3.Vehicles'!F2 * INDEX('2.Distances'!D2:D401,CJ13*20+CJ14 + 1) +CN13," ")," ")</f>
        <v xml:space="preserve"> </v>
      </c>
      <c r="CO14" s="63" t="str">
        <f ca="1">IFERROR(IF(ISNUMBER(CJ14),'3.Vehicles'!F2 * INDEX('2.Distances'!D2:D401,CJ13*20+CJ14 + 1) +CP13," ")," ")</f>
        <v xml:space="preserve"> </v>
      </c>
      <c r="CP14" s="63" t="str">
        <f ca="1">IFERROR(IF(AND(CJ5&lt;&gt;CJ14,ISNUMBER(CO14)),INDEX('1.Locations'!I2:I21,CJ14 + 1) + MAX(CO14,INDEX('1.Locations'!F2:F21,CJ14 + 1))," ")," ")</f>
        <v xml:space="preserve"> </v>
      </c>
      <c r="CQ14" s="62" t="str">
        <f ca="1">IFERROR(IF(AND(CI14 = CI5, CI15 = ""), CO14 - CP5, CP14 - CP5)," ")</f>
        <v xml:space="preserve"> </v>
      </c>
      <c r="CR14" s="60" t="str">
        <f ca="1">IFERROR(IF(ISNUMBER(CJ14),INDEX('1.Locations'!L2:L21,CJ14 + 1) + CR13," ")," ")</f>
        <v xml:space="preserve"> </v>
      </c>
      <c r="CS14" s="61" t="str">
        <f ca="1">IFERROR(IF(ISNUMBER(CJ14),INDEX('1.Locations'!J2:J21,CJ14 + 1)," ")," ")</f>
        <v xml:space="preserve"> </v>
      </c>
      <c r="CT14" s="61" t="str">
        <f ca="1">IFERROR(IF(ISNUMBER(CJ14),INDEX('1.Locations'!K2:K21,CJ14 + 1)," ")," ")</f>
        <v xml:space="preserve"> </v>
      </c>
      <c r="CU14" s="61" t="str">
        <f ca="1">IFERROR(IF(ISNUMBER(CJ14),IF(CI14 = CI5, 0, CS14 + CU13)," ")," ")</f>
        <v xml:space="preserve"> </v>
      </c>
      <c r="CV14" s="61" t="str">
        <f ca="1">IFERROR(IF(ISNUMBER(CJ14),IF(CI15 = CI5, 0, IF(CI15 = "", 0, CV15 + CT15))," ")," ")</f>
        <v xml:space="preserve"> </v>
      </c>
      <c r="CW14" s="60" t="str">
        <f ca="1">IFERROR(IF(ISNUMBER(CJ14),CU14 + CV14," ")," ")</f>
        <v xml:space="preserve"> </v>
      </c>
      <c r="CY14" s="16">
        <v>9</v>
      </c>
      <c r="CZ14" s="59"/>
      <c r="DA14" s="60" t="str">
        <f ca="1">IFERROR(MATCH(INDIRECT("CZ14"),'1.Locations'!B2:B21, 0) - 1," ")</f>
        <v xml:space="preserve"> </v>
      </c>
      <c r="DB14" s="60" t="e">
        <f ca="1">IFERROR(IF(ISNUMBER(DA14),INDEX('1.Locations'!D2:D21,DA14 + 1),NA()),NA())</f>
        <v>#N/A</v>
      </c>
      <c r="DC14" s="60" t="e">
        <f ca="1">IFERROR(IF(ISNUMBER(DA14),INDEX('1.Locations'!E2:E21,DA14 + 1),NA()),NA())</f>
        <v>#N/A</v>
      </c>
      <c r="DD14" s="61" t="str">
        <f ca="1">IFERROR(IF(ISNUMBER(DA14),INDEX('2.Distances'!C2:C401,DA13*20+DA14+ 1) +DD13," ")," ")</f>
        <v xml:space="preserve"> </v>
      </c>
      <c r="DE14" s="62" t="str">
        <f ca="1">IFERROR(IF(ISNUMBER(DA14),'3.Vehicles'!F2 * INDEX('2.Distances'!D2:D401,DA13*20+DA14 + 1) +DE13," ")," ")</f>
        <v xml:space="preserve"> </v>
      </c>
      <c r="DF14" s="63" t="str">
        <f ca="1">IFERROR(IF(ISNUMBER(DA14),'3.Vehicles'!F2 * INDEX('2.Distances'!D2:D401,DA13*20+DA14 + 1) +DG13," ")," ")</f>
        <v xml:space="preserve"> </v>
      </c>
      <c r="DG14" s="63" t="str">
        <f ca="1">IFERROR(IF(AND(DA5&lt;&gt;DA14,ISNUMBER(DF14)),INDEX('1.Locations'!I2:I21,DA14 + 1) + MAX(DF14,INDEX('1.Locations'!F2:F21,DA14 + 1))," ")," ")</f>
        <v xml:space="preserve"> </v>
      </c>
      <c r="DH14" s="62" t="str">
        <f ca="1">IFERROR(IF(AND(CZ14 = CZ5, CZ15 = ""), DF14 - DG5, DG14 - DG5)," ")</f>
        <v xml:space="preserve"> </v>
      </c>
      <c r="DI14" s="60" t="str">
        <f ca="1">IFERROR(IF(ISNUMBER(DA14),INDEX('1.Locations'!L2:L21,DA14 + 1) + DI13," ")," ")</f>
        <v xml:space="preserve"> </v>
      </c>
      <c r="DJ14" s="61" t="str">
        <f ca="1">IFERROR(IF(ISNUMBER(DA14),INDEX('1.Locations'!J2:J21,DA14 + 1)," ")," ")</f>
        <v xml:space="preserve"> </v>
      </c>
      <c r="DK14" s="61" t="str">
        <f ca="1">IFERROR(IF(ISNUMBER(DA14),INDEX('1.Locations'!K2:K21,DA14 + 1)," ")," ")</f>
        <v xml:space="preserve"> </v>
      </c>
      <c r="DL14" s="61" t="str">
        <f ca="1">IFERROR(IF(ISNUMBER(DA14),IF(CZ14 = CZ5, 0, DJ14 + DL13)," ")," ")</f>
        <v xml:space="preserve"> </v>
      </c>
      <c r="DM14" s="61" t="str">
        <f ca="1">IFERROR(IF(ISNUMBER(DA14),IF(CZ15 = CZ5, 0, IF(CZ15 = "", 0, DM15 + DK15))," ")," ")</f>
        <v xml:space="preserve"> </v>
      </c>
      <c r="DN14" s="60" t="str">
        <f ca="1">IFERROR(IF(ISNUMBER(DA14),DL14 + DM14," ")," ")</f>
        <v xml:space="preserve"> </v>
      </c>
      <c r="DP14" s="16">
        <v>9</v>
      </c>
      <c r="DQ14" s="59"/>
      <c r="DR14" s="60" t="str">
        <f ca="1">IFERROR(MATCH(INDIRECT("DQ14"),'1.Locations'!B2:B21, 0) - 1," ")</f>
        <v xml:space="preserve"> </v>
      </c>
      <c r="DS14" s="60" t="e">
        <f ca="1">IFERROR(IF(ISNUMBER(DR14),INDEX('1.Locations'!D2:D21,DR14 + 1),NA()),NA())</f>
        <v>#N/A</v>
      </c>
      <c r="DT14" s="60" t="e">
        <f ca="1">IFERROR(IF(ISNUMBER(DR14),INDEX('1.Locations'!E2:E21,DR14 + 1),NA()),NA())</f>
        <v>#N/A</v>
      </c>
      <c r="DU14" s="61" t="str">
        <f ca="1">IFERROR(IF(ISNUMBER(DR14),INDEX('2.Distances'!C2:C401,DR13*20+DR14+ 1) +DU13," ")," ")</f>
        <v xml:space="preserve"> </v>
      </c>
      <c r="DV14" s="62" t="str">
        <f ca="1">IFERROR(IF(ISNUMBER(DR14),'3.Vehicles'!F2 * INDEX('2.Distances'!D2:D401,DR13*20+DR14 + 1) +DV13," ")," ")</f>
        <v xml:space="preserve"> </v>
      </c>
      <c r="DW14" s="63" t="str">
        <f ca="1">IFERROR(IF(ISNUMBER(DR14),'3.Vehicles'!F2 * INDEX('2.Distances'!D2:D401,DR13*20+DR14 + 1) +DX13," ")," ")</f>
        <v xml:space="preserve"> </v>
      </c>
      <c r="DX14" s="63" t="str">
        <f ca="1">IFERROR(IF(AND(DR5&lt;&gt;DR14,ISNUMBER(DW14)),INDEX('1.Locations'!I2:I21,DR14 + 1) + MAX(DW14,INDEX('1.Locations'!F2:F21,DR14 + 1))," ")," ")</f>
        <v xml:space="preserve"> </v>
      </c>
      <c r="DY14" s="62" t="str">
        <f ca="1">IFERROR(IF(AND(DQ14 = DQ5, DQ15 = ""), DW14 - DX5, DX14 - DX5)," ")</f>
        <v xml:space="preserve"> </v>
      </c>
      <c r="DZ14" s="60" t="str">
        <f ca="1">IFERROR(IF(ISNUMBER(DR14),INDEX('1.Locations'!L2:L21,DR14 + 1) + DZ13," ")," ")</f>
        <v xml:space="preserve"> </v>
      </c>
      <c r="EA14" s="61" t="str">
        <f ca="1">IFERROR(IF(ISNUMBER(DR14),INDEX('1.Locations'!J2:J21,DR14 + 1)," ")," ")</f>
        <v xml:space="preserve"> </v>
      </c>
      <c r="EB14" s="61" t="str">
        <f ca="1">IFERROR(IF(ISNUMBER(DR14),INDEX('1.Locations'!K2:K21,DR14 + 1)," ")," ")</f>
        <v xml:space="preserve"> </v>
      </c>
      <c r="EC14" s="61" t="str">
        <f ca="1">IFERROR(IF(ISNUMBER(DR14),IF(DQ14 = DQ5, 0, EA14 + EC13)," ")," ")</f>
        <v xml:space="preserve"> </v>
      </c>
      <c r="ED14" s="61" t="str">
        <f ca="1">IFERROR(IF(ISNUMBER(DR14),IF(DQ15 = DQ5, 0, IF(DQ15 = "", 0, ED15 + EB15))," ")," ")</f>
        <v xml:space="preserve"> </v>
      </c>
      <c r="EE14" s="60" t="str">
        <f ca="1">IFERROR(IF(ISNUMBER(DR14),EC14 + ED14," ")," ")</f>
        <v xml:space="preserve"> </v>
      </c>
      <c r="EG14" s="16">
        <v>9</v>
      </c>
      <c r="EH14" s="59"/>
      <c r="EI14" s="60" t="str">
        <f ca="1">IFERROR(MATCH(INDIRECT("EH14"),'1.Locations'!B2:B21, 0) - 1," ")</f>
        <v xml:space="preserve"> </v>
      </c>
      <c r="EJ14" s="60" t="e">
        <f ca="1">IFERROR(IF(ISNUMBER(EI14),INDEX('1.Locations'!D2:D21,EI14 + 1),NA()),NA())</f>
        <v>#N/A</v>
      </c>
      <c r="EK14" s="60" t="e">
        <f ca="1">IFERROR(IF(ISNUMBER(EI14),INDEX('1.Locations'!E2:E21,EI14 + 1),NA()),NA())</f>
        <v>#N/A</v>
      </c>
      <c r="EL14" s="61" t="str">
        <f ca="1">IFERROR(IF(ISNUMBER(EI14),INDEX('2.Distances'!C2:C401,EI13*20+EI14+ 1) +EL13," ")," ")</f>
        <v xml:space="preserve"> </v>
      </c>
      <c r="EM14" s="62" t="str">
        <f ca="1">IFERROR(IF(ISNUMBER(EI14),'3.Vehicles'!F2 * INDEX('2.Distances'!D2:D401,EI13*20+EI14 + 1) +EM13," ")," ")</f>
        <v xml:space="preserve"> </v>
      </c>
      <c r="EN14" s="63" t="str">
        <f ca="1">IFERROR(IF(ISNUMBER(EI14),'3.Vehicles'!F2 * INDEX('2.Distances'!D2:D401,EI13*20+EI14 + 1) +EO13," ")," ")</f>
        <v xml:space="preserve"> </v>
      </c>
      <c r="EO14" s="63" t="str">
        <f ca="1">IFERROR(IF(AND(EI5&lt;&gt;EI14,ISNUMBER(EN14)),INDEX('1.Locations'!I2:I21,EI14 + 1) + MAX(EN14,INDEX('1.Locations'!F2:F21,EI14 + 1))," ")," ")</f>
        <v xml:space="preserve"> </v>
      </c>
      <c r="EP14" s="62" t="str">
        <f ca="1">IFERROR(IF(AND(EH14 = EH5, EH15 = ""), EN14 - EO5, EO14 - EO5)," ")</f>
        <v xml:space="preserve"> </v>
      </c>
      <c r="EQ14" s="60" t="str">
        <f ca="1">IFERROR(IF(ISNUMBER(EI14),INDEX('1.Locations'!L2:L21,EI14 + 1) + EQ13," ")," ")</f>
        <v xml:space="preserve"> </v>
      </c>
      <c r="ER14" s="61" t="str">
        <f ca="1">IFERROR(IF(ISNUMBER(EI14),INDEX('1.Locations'!J2:J21,EI14 + 1)," ")," ")</f>
        <v xml:space="preserve"> </v>
      </c>
      <c r="ES14" s="61" t="str">
        <f ca="1">IFERROR(IF(ISNUMBER(EI14),INDEX('1.Locations'!K2:K21,EI14 + 1)," ")," ")</f>
        <v xml:space="preserve"> </v>
      </c>
      <c r="ET14" s="61" t="str">
        <f ca="1">IFERROR(IF(ISNUMBER(EI14),IF(EH14 = EH5, 0, ER14 + ET13)," ")," ")</f>
        <v xml:space="preserve"> </v>
      </c>
      <c r="EU14" s="61" t="str">
        <f ca="1">IFERROR(IF(ISNUMBER(EI14),IF(EH15 = EH5, 0, IF(EH15 = "", 0, EU15 + ES15))," ")," ")</f>
        <v xml:space="preserve"> </v>
      </c>
      <c r="EV14" s="60" t="str">
        <f ca="1">IFERROR(IF(ISNUMBER(EI14),ET14 + EU14," ")," ")</f>
        <v xml:space="preserve"> </v>
      </c>
      <c r="EX14" s="16">
        <v>9</v>
      </c>
      <c r="EY14" s="59"/>
      <c r="EZ14" s="60" t="str">
        <f ca="1">IFERROR(MATCH(INDIRECT("EY14"),'1.Locations'!B2:B21, 0) - 1," ")</f>
        <v xml:space="preserve"> </v>
      </c>
      <c r="FA14" s="60" t="e">
        <f ca="1">IFERROR(IF(ISNUMBER(EZ14),INDEX('1.Locations'!D2:D21,EZ14 + 1),NA()),NA())</f>
        <v>#N/A</v>
      </c>
      <c r="FB14" s="60" t="e">
        <f ca="1">IFERROR(IF(ISNUMBER(EZ14),INDEX('1.Locations'!E2:E21,EZ14 + 1),NA()),NA())</f>
        <v>#N/A</v>
      </c>
      <c r="FC14" s="61" t="str">
        <f ca="1">IFERROR(IF(ISNUMBER(EZ14),INDEX('2.Distances'!C2:C401,EZ13*20+EZ14+ 1) +FC13," ")," ")</f>
        <v xml:space="preserve"> </v>
      </c>
      <c r="FD14" s="62" t="str">
        <f ca="1">IFERROR(IF(ISNUMBER(EZ14),'3.Vehicles'!F2 * INDEX('2.Distances'!D2:D401,EZ13*20+EZ14 + 1) +FD13," ")," ")</f>
        <v xml:space="preserve"> </v>
      </c>
      <c r="FE14" s="63" t="str">
        <f ca="1">IFERROR(IF(ISNUMBER(EZ14),'3.Vehicles'!F2 * INDEX('2.Distances'!D2:D401,EZ13*20+EZ14 + 1) +FF13," ")," ")</f>
        <v xml:space="preserve"> </v>
      </c>
      <c r="FF14" s="63" t="str">
        <f ca="1">IFERROR(IF(AND(EZ5&lt;&gt;EZ14,ISNUMBER(FE14)),INDEX('1.Locations'!I2:I21,EZ14 + 1) + MAX(FE14,INDEX('1.Locations'!F2:F21,EZ14 + 1))," ")," ")</f>
        <v xml:space="preserve"> </v>
      </c>
      <c r="FG14" s="62" t="str">
        <f ca="1">IFERROR(IF(AND(EY14 = EY5, EY15 = ""), FE14 - FF5, FF14 - FF5)," ")</f>
        <v xml:space="preserve"> </v>
      </c>
      <c r="FH14" s="60" t="str">
        <f ca="1">IFERROR(IF(ISNUMBER(EZ14),INDEX('1.Locations'!L2:L21,EZ14 + 1) + FH13," ")," ")</f>
        <v xml:space="preserve"> </v>
      </c>
      <c r="FI14" s="61" t="str">
        <f ca="1">IFERROR(IF(ISNUMBER(EZ14),INDEX('1.Locations'!J2:J21,EZ14 + 1)," ")," ")</f>
        <v xml:space="preserve"> </v>
      </c>
      <c r="FJ14" s="61" t="str">
        <f ca="1">IFERROR(IF(ISNUMBER(EZ14),INDEX('1.Locations'!K2:K21,EZ14 + 1)," ")," ")</f>
        <v xml:space="preserve"> </v>
      </c>
      <c r="FK14" s="61" t="str">
        <f ca="1">IFERROR(IF(ISNUMBER(EZ14),IF(EY14 = EY5, 0, FI14 + FK13)," ")," ")</f>
        <v xml:space="preserve"> </v>
      </c>
      <c r="FL14" s="61" t="str">
        <f ca="1">IFERROR(IF(ISNUMBER(EZ14),IF(EY15 = EY5, 0, IF(EY15 = "", 0, FL15 + FJ15))," ")," ")</f>
        <v xml:space="preserve"> </v>
      </c>
      <c r="FM14" s="60" t="str">
        <f ca="1">IFERROR(IF(ISNUMBER(EZ14),FK14 + FL14," ")," ")</f>
        <v xml:space="preserve"> </v>
      </c>
    </row>
    <row r="15" spans="1:169" x14ac:dyDescent="0.3">
      <c r="A15" s="16">
        <v>10</v>
      </c>
      <c r="B15" s="65"/>
      <c r="C15" s="60" t="str">
        <f ca="1">IFERROR(MATCH(INDIRECT("B15"),'1.Locations'!B2:B21, 0) - 1," ")</f>
        <v xml:space="preserve"> </v>
      </c>
      <c r="D15" s="60" t="e">
        <f ca="1">IFERROR(IF(ISNUMBER(C15),INDEX('1.Locations'!D2:D21,C15 + 1),NA()),NA())</f>
        <v>#N/A</v>
      </c>
      <c r="E15" s="60" t="e">
        <f ca="1">IFERROR(IF(ISNUMBER(C15),INDEX('1.Locations'!E2:E21,C15 + 1),NA()),NA())</f>
        <v>#N/A</v>
      </c>
      <c r="F15" s="61" t="str">
        <f ca="1">IFERROR(IF(ISNUMBER(C15),INDEX('2.Distances'!C2:C401,C14*20+C15+ 1) +F14," ")," ")</f>
        <v xml:space="preserve"> </v>
      </c>
      <c r="G15" s="62" t="str">
        <f ca="1">IFERROR(IF(ISNUMBER(C15),'3.Vehicles'!F2 * INDEX('2.Distances'!D2:D401,C14*20+C15 + 1) +G14," ")," ")</f>
        <v xml:space="preserve"> </v>
      </c>
      <c r="H15" s="63" t="str">
        <f ca="1">IFERROR(IF(ISNUMBER(C15),'3.Vehicles'!F2 * INDEX('2.Distances'!D2:D401,C14*20+C15 + 1) +I14," ")," ")</f>
        <v xml:space="preserve"> </v>
      </c>
      <c r="I15" s="63" t="str">
        <f ca="1">IFERROR(IF(AND(C5&lt;&gt;C15,ISNUMBER(H15)),INDEX('1.Locations'!I2:I21,C15 + 1) + MAX(H15,INDEX('1.Locations'!F2:F21,C15 + 1))," ")," ")</f>
        <v xml:space="preserve"> </v>
      </c>
      <c r="J15" s="62" t="str">
        <f ca="1">IFERROR(IF(AND(B15 = B5, B16 = ""), H15 - I5, I15 - I5)," ")</f>
        <v xml:space="preserve"> </v>
      </c>
      <c r="K15" s="60" t="str">
        <f ca="1">IFERROR(IF(ISNUMBER(C15),INDEX('1.Locations'!L2:L21,C15 + 1) + K14," ")," ")</f>
        <v xml:space="preserve"> </v>
      </c>
      <c r="L15" s="61" t="str">
        <f ca="1">IFERROR(IF(ISNUMBER(C15),INDEX('1.Locations'!J2:J21,C15 + 1)," ")," ")</f>
        <v xml:space="preserve"> </v>
      </c>
      <c r="M15" s="61" t="str">
        <f ca="1">IFERROR(IF(ISNUMBER(C15),INDEX('1.Locations'!K2:K21,C15 + 1)," ")," ")</f>
        <v xml:space="preserve"> </v>
      </c>
      <c r="N15" s="61" t="str">
        <f ca="1">IFERROR(IF(ISNUMBER(C15),IF(B15 = B5, 0, L15 + N14)," ")," ")</f>
        <v xml:space="preserve"> </v>
      </c>
      <c r="O15" s="61" t="str">
        <f ca="1">IFERROR(IF(ISNUMBER(C15),IF(B16 = B5, 0, IF(B16 = "", 0, O16 + M16))," ")," ")</f>
        <v xml:space="preserve"> </v>
      </c>
      <c r="P15" s="60" t="str">
        <f ca="1">IFERROR(IF(ISNUMBER(C15),N15 + O15," ")," ")</f>
        <v xml:space="preserve"> </v>
      </c>
      <c r="R15" s="16">
        <v>10</v>
      </c>
      <c r="S15" s="65"/>
      <c r="T15" s="60" t="str">
        <f ca="1">IFERROR(MATCH(INDIRECT("S15"),'1.Locations'!B2:B21, 0) - 1," ")</f>
        <v xml:space="preserve"> </v>
      </c>
      <c r="U15" s="60" t="e">
        <f ca="1">IFERROR(IF(ISNUMBER(T15),INDEX('1.Locations'!D2:D21,T15 + 1),NA()),NA())</f>
        <v>#N/A</v>
      </c>
      <c r="V15" s="60" t="e">
        <f ca="1">IFERROR(IF(ISNUMBER(T15),INDEX('1.Locations'!E2:E21,T15 + 1),NA()),NA())</f>
        <v>#N/A</v>
      </c>
      <c r="W15" s="61" t="str">
        <f ca="1">IFERROR(IF(ISNUMBER(T15),INDEX('2.Distances'!C2:C401,T14*20+T15+ 1) +W14," ")," ")</f>
        <v xml:space="preserve"> </v>
      </c>
      <c r="X15" s="62" t="str">
        <f ca="1">IFERROR(IF(ISNUMBER(T15),'3.Vehicles'!F2 * INDEX('2.Distances'!D2:D401,T14*20+T15 + 1) +X14," ")," ")</f>
        <v xml:space="preserve"> </v>
      </c>
      <c r="Y15" s="63" t="str">
        <f ca="1">IFERROR(IF(ISNUMBER(T15),'3.Vehicles'!F2 * INDEX('2.Distances'!D2:D401,T14*20+T15 + 1) +Z14," ")," ")</f>
        <v xml:space="preserve"> </v>
      </c>
      <c r="Z15" s="63" t="str">
        <f ca="1">IFERROR(IF(AND(T5&lt;&gt;T15,ISNUMBER(Y15)),INDEX('1.Locations'!I2:I21,T15 + 1) + MAX(Y15,INDEX('1.Locations'!F2:F21,T15 + 1))," ")," ")</f>
        <v xml:space="preserve"> </v>
      </c>
      <c r="AA15" s="62" t="str">
        <f ca="1">IFERROR(IF(AND(S15 = S5, S16 = ""), Y15 - Z5, Z15 - Z5)," ")</f>
        <v xml:space="preserve"> </v>
      </c>
      <c r="AB15" s="60" t="str">
        <f ca="1">IFERROR(IF(ISNUMBER(T15),INDEX('1.Locations'!L2:L21,T15 + 1) + AB14," ")," ")</f>
        <v xml:space="preserve"> </v>
      </c>
      <c r="AC15" s="61" t="str">
        <f ca="1">IFERROR(IF(ISNUMBER(T15),INDEX('1.Locations'!J2:J21,T15 + 1)," ")," ")</f>
        <v xml:space="preserve"> </v>
      </c>
      <c r="AD15" s="61" t="str">
        <f ca="1">IFERROR(IF(ISNUMBER(T15),INDEX('1.Locations'!K2:K21,T15 + 1)," ")," ")</f>
        <v xml:space="preserve"> </v>
      </c>
      <c r="AE15" s="61" t="str">
        <f ca="1">IFERROR(IF(ISNUMBER(T15),IF(S15 = S5, 0, AC15 + AE14)," ")," ")</f>
        <v xml:space="preserve"> </v>
      </c>
      <c r="AF15" s="61" t="str">
        <f ca="1">IFERROR(IF(ISNUMBER(T15),IF(S16 = S5, 0, IF(S16 = "", 0, AF16 + AD16))," ")," ")</f>
        <v xml:space="preserve"> </v>
      </c>
      <c r="AG15" s="60" t="str">
        <f ca="1">IFERROR(IF(ISNUMBER(T15),AE15 + AF15," ")," ")</f>
        <v xml:space="preserve"> </v>
      </c>
      <c r="AI15" s="16">
        <v>10</v>
      </c>
      <c r="AJ15" s="65"/>
      <c r="AK15" s="60" t="str">
        <f ca="1">IFERROR(MATCH(INDIRECT("AJ15"),'1.Locations'!B2:B21, 0) - 1," ")</f>
        <v xml:space="preserve"> </v>
      </c>
      <c r="AL15" s="60" t="e">
        <f ca="1">IFERROR(IF(ISNUMBER(AK15),INDEX('1.Locations'!D2:D21,AK15 + 1),NA()),NA())</f>
        <v>#N/A</v>
      </c>
      <c r="AM15" s="60" t="e">
        <f ca="1">IFERROR(IF(ISNUMBER(AK15),INDEX('1.Locations'!E2:E21,AK15 + 1),NA()),NA())</f>
        <v>#N/A</v>
      </c>
      <c r="AN15" s="61" t="str">
        <f ca="1">IFERROR(IF(ISNUMBER(AK15),INDEX('2.Distances'!C2:C401,AK14*20+AK15+ 1) +AN14," ")," ")</f>
        <v xml:space="preserve"> </v>
      </c>
      <c r="AO15" s="62" t="str">
        <f ca="1">IFERROR(IF(ISNUMBER(AK15),'3.Vehicles'!F2 * INDEX('2.Distances'!D2:D401,AK14*20+AK15 + 1) +AO14," ")," ")</f>
        <v xml:space="preserve"> </v>
      </c>
      <c r="AP15" s="63" t="str">
        <f ca="1">IFERROR(IF(ISNUMBER(AK15),'3.Vehicles'!F2 * INDEX('2.Distances'!D2:D401,AK14*20+AK15 + 1) +AQ14," ")," ")</f>
        <v xml:space="preserve"> </v>
      </c>
      <c r="AQ15" s="63" t="str">
        <f ca="1">IFERROR(IF(AND(AK5&lt;&gt;AK15,ISNUMBER(AP15)),INDEX('1.Locations'!I2:I21,AK15 + 1) + MAX(AP15,INDEX('1.Locations'!F2:F21,AK15 + 1))," ")," ")</f>
        <v xml:space="preserve"> </v>
      </c>
      <c r="AR15" s="62" t="str">
        <f ca="1">IFERROR(IF(AND(AJ15 = AJ5, AJ16 = ""), AP15 - AQ5, AQ15 - AQ5)," ")</f>
        <v xml:space="preserve"> </v>
      </c>
      <c r="AS15" s="60" t="str">
        <f ca="1">IFERROR(IF(ISNUMBER(AK15),INDEX('1.Locations'!L2:L21,AK15 + 1) + AS14," ")," ")</f>
        <v xml:space="preserve"> </v>
      </c>
      <c r="AT15" s="61" t="str">
        <f ca="1">IFERROR(IF(ISNUMBER(AK15),INDEX('1.Locations'!J2:J21,AK15 + 1)," ")," ")</f>
        <v xml:space="preserve"> </v>
      </c>
      <c r="AU15" s="61" t="str">
        <f ca="1">IFERROR(IF(ISNUMBER(AK15),INDEX('1.Locations'!K2:K21,AK15 + 1)," ")," ")</f>
        <v xml:space="preserve"> </v>
      </c>
      <c r="AV15" s="61" t="str">
        <f ca="1">IFERROR(IF(ISNUMBER(AK15),IF(AJ15 = AJ5, 0, AT15 + AV14)," ")," ")</f>
        <v xml:space="preserve"> </v>
      </c>
      <c r="AW15" s="61" t="str">
        <f ca="1">IFERROR(IF(ISNUMBER(AK15),IF(AJ16 = AJ5, 0, IF(AJ16 = "", 0, AW16 + AU16))," ")," ")</f>
        <v xml:space="preserve"> </v>
      </c>
      <c r="AX15" s="60" t="str">
        <f ca="1">IFERROR(IF(ISNUMBER(AK15),AV15 + AW15," ")," ")</f>
        <v xml:space="preserve"> </v>
      </c>
      <c r="AZ15" s="16">
        <v>10</v>
      </c>
      <c r="BA15" s="65"/>
      <c r="BB15" s="60" t="str">
        <f ca="1">IFERROR(MATCH(INDIRECT("BA15"),'1.Locations'!B2:B21, 0) - 1," ")</f>
        <v xml:space="preserve"> </v>
      </c>
      <c r="BC15" s="60" t="e">
        <f ca="1">IFERROR(IF(ISNUMBER(BB15),INDEX('1.Locations'!D2:D21,BB15 + 1),NA()),NA())</f>
        <v>#N/A</v>
      </c>
      <c r="BD15" s="60" t="e">
        <f ca="1">IFERROR(IF(ISNUMBER(BB15),INDEX('1.Locations'!E2:E21,BB15 + 1),NA()),NA())</f>
        <v>#N/A</v>
      </c>
      <c r="BE15" s="61" t="str">
        <f ca="1">IFERROR(IF(ISNUMBER(BB15),INDEX('2.Distances'!C2:C401,BB14*20+BB15+ 1) +BE14," ")," ")</f>
        <v xml:space="preserve"> </v>
      </c>
      <c r="BF15" s="62" t="str">
        <f ca="1">IFERROR(IF(ISNUMBER(BB15),'3.Vehicles'!F2 * INDEX('2.Distances'!D2:D401,BB14*20+BB15 + 1) +BF14," ")," ")</f>
        <v xml:space="preserve"> </v>
      </c>
      <c r="BG15" s="63" t="str">
        <f ca="1">IFERROR(IF(ISNUMBER(BB15),'3.Vehicles'!F2 * INDEX('2.Distances'!D2:D401,BB14*20+BB15 + 1) +BH14," ")," ")</f>
        <v xml:space="preserve"> </v>
      </c>
      <c r="BH15" s="63" t="str">
        <f ca="1">IFERROR(IF(AND(BB5&lt;&gt;BB15,ISNUMBER(BG15)),INDEX('1.Locations'!I2:I21,BB15 + 1) + MAX(BG15,INDEX('1.Locations'!F2:F21,BB15 + 1))," ")," ")</f>
        <v xml:space="preserve"> </v>
      </c>
      <c r="BI15" s="62" t="str">
        <f ca="1">IFERROR(IF(AND(BA15 = BA5, BA16 = ""), BG15 - BH5, BH15 - BH5)," ")</f>
        <v xml:space="preserve"> </v>
      </c>
      <c r="BJ15" s="60" t="str">
        <f ca="1">IFERROR(IF(ISNUMBER(BB15),INDEX('1.Locations'!L2:L21,BB15 + 1) + BJ14," ")," ")</f>
        <v xml:space="preserve"> </v>
      </c>
      <c r="BK15" s="61" t="str">
        <f ca="1">IFERROR(IF(ISNUMBER(BB15),INDEX('1.Locations'!J2:J21,BB15 + 1)," ")," ")</f>
        <v xml:space="preserve"> </v>
      </c>
      <c r="BL15" s="61" t="str">
        <f ca="1">IFERROR(IF(ISNUMBER(BB15),INDEX('1.Locations'!K2:K21,BB15 + 1)," ")," ")</f>
        <v xml:space="preserve"> </v>
      </c>
      <c r="BM15" s="61" t="str">
        <f ca="1">IFERROR(IF(ISNUMBER(BB15),IF(BA15 = BA5, 0, BK15 + BM14)," ")," ")</f>
        <v xml:space="preserve"> </v>
      </c>
      <c r="BN15" s="61" t="str">
        <f ca="1">IFERROR(IF(ISNUMBER(BB15),IF(BA16 = BA5, 0, IF(BA16 = "", 0, BN16 + BL16))," ")," ")</f>
        <v xml:space="preserve"> </v>
      </c>
      <c r="BO15" s="60" t="str">
        <f ca="1">IFERROR(IF(ISNUMBER(BB15),BM15 + BN15," ")," ")</f>
        <v xml:space="preserve"> </v>
      </c>
      <c r="BQ15" s="16">
        <v>10</v>
      </c>
      <c r="BR15" s="65"/>
      <c r="BS15" s="60" t="str">
        <f ca="1">IFERROR(MATCH(INDIRECT("BR15"),'1.Locations'!B2:B21, 0) - 1," ")</f>
        <v xml:space="preserve"> </v>
      </c>
      <c r="BT15" s="60" t="e">
        <f ca="1">IFERROR(IF(ISNUMBER(BS15),INDEX('1.Locations'!D2:D21,BS15 + 1),NA()),NA())</f>
        <v>#N/A</v>
      </c>
      <c r="BU15" s="60" t="e">
        <f ca="1">IFERROR(IF(ISNUMBER(BS15),INDEX('1.Locations'!E2:E21,BS15 + 1),NA()),NA())</f>
        <v>#N/A</v>
      </c>
      <c r="BV15" s="61" t="str">
        <f ca="1">IFERROR(IF(ISNUMBER(BS15),INDEX('2.Distances'!C2:C401,BS14*20+BS15+ 1) +BV14," ")," ")</f>
        <v xml:space="preserve"> </v>
      </c>
      <c r="BW15" s="62" t="str">
        <f ca="1">IFERROR(IF(ISNUMBER(BS15),'3.Vehicles'!F2 * INDEX('2.Distances'!D2:D401,BS14*20+BS15 + 1) +BW14," ")," ")</f>
        <v xml:space="preserve"> </v>
      </c>
      <c r="BX15" s="63" t="str">
        <f ca="1">IFERROR(IF(ISNUMBER(BS15),'3.Vehicles'!F2 * INDEX('2.Distances'!D2:D401,BS14*20+BS15 + 1) +BY14," ")," ")</f>
        <v xml:space="preserve"> </v>
      </c>
      <c r="BY15" s="63" t="str">
        <f ca="1">IFERROR(IF(AND(BS5&lt;&gt;BS15,ISNUMBER(BX15)),INDEX('1.Locations'!I2:I21,BS15 + 1) + MAX(BX15,INDEX('1.Locations'!F2:F21,BS15 + 1))," ")," ")</f>
        <v xml:space="preserve"> </v>
      </c>
      <c r="BZ15" s="62" t="str">
        <f ca="1">IFERROR(IF(AND(BR15 = BR5, BR16 = ""), BX15 - BY5, BY15 - BY5)," ")</f>
        <v xml:space="preserve"> </v>
      </c>
      <c r="CA15" s="60" t="str">
        <f ca="1">IFERROR(IF(ISNUMBER(BS15),INDEX('1.Locations'!L2:L21,BS15 + 1) + CA14," ")," ")</f>
        <v xml:space="preserve"> </v>
      </c>
      <c r="CB15" s="61" t="str">
        <f ca="1">IFERROR(IF(ISNUMBER(BS15),INDEX('1.Locations'!J2:J21,BS15 + 1)," ")," ")</f>
        <v xml:space="preserve"> </v>
      </c>
      <c r="CC15" s="61" t="str">
        <f ca="1">IFERROR(IF(ISNUMBER(BS15),INDEX('1.Locations'!K2:K21,BS15 + 1)," ")," ")</f>
        <v xml:space="preserve"> </v>
      </c>
      <c r="CD15" s="61" t="str">
        <f ca="1">IFERROR(IF(ISNUMBER(BS15),IF(BR15 = BR5, 0, CB15 + CD14)," ")," ")</f>
        <v xml:space="preserve"> </v>
      </c>
      <c r="CE15" s="61" t="str">
        <f ca="1">IFERROR(IF(ISNUMBER(BS15),IF(BR16 = BR5, 0, IF(BR16 = "", 0, CE16 + CC16))," ")," ")</f>
        <v xml:space="preserve"> </v>
      </c>
      <c r="CF15" s="60" t="str">
        <f ca="1">IFERROR(IF(ISNUMBER(BS15),CD15 + CE15," ")," ")</f>
        <v xml:space="preserve"> </v>
      </c>
      <c r="CH15" s="16">
        <v>10</v>
      </c>
      <c r="CI15" s="65"/>
      <c r="CJ15" s="60" t="str">
        <f ca="1">IFERROR(MATCH(INDIRECT("CI15"),'1.Locations'!B2:B21, 0) - 1," ")</f>
        <v xml:space="preserve"> </v>
      </c>
      <c r="CK15" s="60" t="e">
        <f ca="1">IFERROR(IF(ISNUMBER(CJ15),INDEX('1.Locations'!D2:D21,CJ15 + 1),NA()),NA())</f>
        <v>#N/A</v>
      </c>
      <c r="CL15" s="60" t="e">
        <f ca="1">IFERROR(IF(ISNUMBER(CJ15),INDEX('1.Locations'!E2:E21,CJ15 + 1),NA()),NA())</f>
        <v>#N/A</v>
      </c>
      <c r="CM15" s="61" t="str">
        <f ca="1">IFERROR(IF(ISNUMBER(CJ15),INDEX('2.Distances'!C2:C401,CJ14*20+CJ15+ 1) +CM14," ")," ")</f>
        <v xml:space="preserve"> </v>
      </c>
      <c r="CN15" s="62" t="str">
        <f ca="1">IFERROR(IF(ISNUMBER(CJ15),'3.Vehicles'!F2 * INDEX('2.Distances'!D2:D401,CJ14*20+CJ15 + 1) +CN14," ")," ")</f>
        <v xml:space="preserve"> </v>
      </c>
      <c r="CO15" s="63" t="str">
        <f ca="1">IFERROR(IF(ISNUMBER(CJ15),'3.Vehicles'!F2 * INDEX('2.Distances'!D2:D401,CJ14*20+CJ15 + 1) +CP14," ")," ")</f>
        <v xml:space="preserve"> </v>
      </c>
      <c r="CP15" s="63" t="str">
        <f ca="1">IFERROR(IF(AND(CJ5&lt;&gt;CJ15,ISNUMBER(CO15)),INDEX('1.Locations'!I2:I21,CJ15 + 1) + MAX(CO15,INDEX('1.Locations'!F2:F21,CJ15 + 1))," ")," ")</f>
        <v xml:space="preserve"> </v>
      </c>
      <c r="CQ15" s="62" t="str">
        <f ca="1">IFERROR(IF(AND(CI15 = CI5, CI16 = ""), CO15 - CP5, CP15 - CP5)," ")</f>
        <v xml:space="preserve"> </v>
      </c>
      <c r="CR15" s="60" t="str">
        <f ca="1">IFERROR(IF(ISNUMBER(CJ15),INDEX('1.Locations'!L2:L21,CJ15 + 1) + CR14," ")," ")</f>
        <v xml:space="preserve"> </v>
      </c>
      <c r="CS15" s="61" t="str">
        <f ca="1">IFERROR(IF(ISNUMBER(CJ15),INDEX('1.Locations'!J2:J21,CJ15 + 1)," ")," ")</f>
        <v xml:space="preserve"> </v>
      </c>
      <c r="CT15" s="61" t="str">
        <f ca="1">IFERROR(IF(ISNUMBER(CJ15),INDEX('1.Locations'!K2:K21,CJ15 + 1)," ")," ")</f>
        <v xml:space="preserve"> </v>
      </c>
      <c r="CU15" s="61" t="str">
        <f ca="1">IFERROR(IF(ISNUMBER(CJ15),IF(CI15 = CI5, 0, CS15 + CU14)," ")," ")</f>
        <v xml:space="preserve"> </v>
      </c>
      <c r="CV15" s="61" t="str">
        <f ca="1">IFERROR(IF(ISNUMBER(CJ15),IF(CI16 = CI5, 0, IF(CI16 = "", 0, CV16 + CT16))," ")," ")</f>
        <v xml:space="preserve"> </v>
      </c>
      <c r="CW15" s="60" t="str">
        <f ca="1">IFERROR(IF(ISNUMBER(CJ15),CU15 + CV15," ")," ")</f>
        <v xml:space="preserve"> </v>
      </c>
      <c r="CY15" s="16">
        <v>10</v>
      </c>
      <c r="CZ15" s="65"/>
      <c r="DA15" s="60" t="str">
        <f ca="1">IFERROR(MATCH(INDIRECT("CZ15"),'1.Locations'!B2:B21, 0) - 1," ")</f>
        <v xml:space="preserve"> </v>
      </c>
      <c r="DB15" s="60" t="e">
        <f ca="1">IFERROR(IF(ISNUMBER(DA15),INDEX('1.Locations'!D2:D21,DA15 + 1),NA()),NA())</f>
        <v>#N/A</v>
      </c>
      <c r="DC15" s="60" t="e">
        <f ca="1">IFERROR(IF(ISNUMBER(DA15),INDEX('1.Locations'!E2:E21,DA15 + 1),NA()),NA())</f>
        <v>#N/A</v>
      </c>
      <c r="DD15" s="61" t="str">
        <f ca="1">IFERROR(IF(ISNUMBER(DA15),INDEX('2.Distances'!C2:C401,DA14*20+DA15+ 1) +DD14," ")," ")</f>
        <v xml:space="preserve"> </v>
      </c>
      <c r="DE15" s="62" t="str">
        <f ca="1">IFERROR(IF(ISNUMBER(DA15),'3.Vehicles'!F2 * INDEX('2.Distances'!D2:D401,DA14*20+DA15 + 1) +DE14," ")," ")</f>
        <v xml:space="preserve"> </v>
      </c>
      <c r="DF15" s="63" t="str">
        <f ca="1">IFERROR(IF(ISNUMBER(DA15),'3.Vehicles'!F2 * INDEX('2.Distances'!D2:D401,DA14*20+DA15 + 1) +DG14," ")," ")</f>
        <v xml:space="preserve"> </v>
      </c>
      <c r="DG15" s="63" t="str">
        <f ca="1">IFERROR(IF(AND(DA5&lt;&gt;DA15,ISNUMBER(DF15)),INDEX('1.Locations'!I2:I21,DA15 + 1) + MAX(DF15,INDEX('1.Locations'!F2:F21,DA15 + 1))," ")," ")</f>
        <v xml:space="preserve"> </v>
      </c>
      <c r="DH15" s="62" t="str">
        <f ca="1">IFERROR(IF(AND(CZ15 = CZ5, CZ16 = ""), DF15 - DG5, DG15 - DG5)," ")</f>
        <v xml:space="preserve"> </v>
      </c>
      <c r="DI15" s="60" t="str">
        <f ca="1">IFERROR(IF(ISNUMBER(DA15),INDEX('1.Locations'!L2:L21,DA15 + 1) + DI14," ")," ")</f>
        <v xml:space="preserve"> </v>
      </c>
      <c r="DJ15" s="61" t="str">
        <f ca="1">IFERROR(IF(ISNUMBER(DA15),INDEX('1.Locations'!J2:J21,DA15 + 1)," ")," ")</f>
        <v xml:space="preserve"> </v>
      </c>
      <c r="DK15" s="61" t="str">
        <f ca="1">IFERROR(IF(ISNUMBER(DA15),INDEX('1.Locations'!K2:K21,DA15 + 1)," ")," ")</f>
        <v xml:space="preserve"> </v>
      </c>
      <c r="DL15" s="61" t="str">
        <f ca="1">IFERROR(IF(ISNUMBER(DA15),IF(CZ15 = CZ5, 0, DJ15 + DL14)," ")," ")</f>
        <v xml:space="preserve"> </v>
      </c>
      <c r="DM15" s="61" t="str">
        <f ca="1">IFERROR(IF(ISNUMBER(DA15),IF(CZ16 = CZ5, 0, IF(CZ16 = "", 0, DM16 + DK16))," ")," ")</f>
        <v xml:space="preserve"> </v>
      </c>
      <c r="DN15" s="60" t="str">
        <f ca="1">IFERROR(IF(ISNUMBER(DA15),DL15 + DM15," ")," ")</f>
        <v xml:space="preserve"> </v>
      </c>
      <c r="DP15" s="16">
        <v>10</v>
      </c>
      <c r="DQ15" s="65"/>
      <c r="DR15" s="60" t="str">
        <f ca="1">IFERROR(MATCH(INDIRECT("DQ15"),'1.Locations'!B2:B21, 0) - 1," ")</f>
        <v xml:space="preserve"> </v>
      </c>
      <c r="DS15" s="60" t="e">
        <f ca="1">IFERROR(IF(ISNUMBER(DR15),INDEX('1.Locations'!D2:D21,DR15 + 1),NA()),NA())</f>
        <v>#N/A</v>
      </c>
      <c r="DT15" s="60" t="e">
        <f ca="1">IFERROR(IF(ISNUMBER(DR15),INDEX('1.Locations'!E2:E21,DR15 + 1),NA()),NA())</f>
        <v>#N/A</v>
      </c>
      <c r="DU15" s="61" t="str">
        <f ca="1">IFERROR(IF(ISNUMBER(DR15),INDEX('2.Distances'!C2:C401,DR14*20+DR15+ 1) +DU14," ")," ")</f>
        <v xml:space="preserve"> </v>
      </c>
      <c r="DV15" s="62" t="str">
        <f ca="1">IFERROR(IF(ISNUMBER(DR15),'3.Vehicles'!F2 * INDEX('2.Distances'!D2:D401,DR14*20+DR15 + 1) +DV14," ")," ")</f>
        <v xml:space="preserve"> </v>
      </c>
      <c r="DW15" s="63" t="str">
        <f ca="1">IFERROR(IF(ISNUMBER(DR15),'3.Vehicles'!F2 * INDEX('2.Distances'!D2:D401,DR14*20+DR15 + 1) +DX14," ")," ")</f>
        <v xml:space="preserve"> </v>
      </c>
      <c r="DX15" s="63" t="str">
        <f ca="1">IFERROR(IF(AND(DR5&lt;&gt;DR15,ISNUMBER(DW15)),INDEX('1.Locations'!I2:I21,DR15 + 1) + MAX(DW15,INDEX('1.Locations'!F2:F21,DR15 + 1))," ")," ")</f>
        <v xml:space="preserve"> </v>
      </c>
      <c r="DY15" s="62" t="str">
        <f ca="1">IFERROR(IF(AND(DQ15 = DQ5, DQ16 = ""), DW15 - DX5, DX15 - DX5)," ")</f>
        <v xml:space="preserve"> </v>
      </c>
      <c r="DZ15" s="60" t="str">
        <f ca="1">IFERROR(IF(ISNUMBER(DR15),INDEX('1.Locations'!L2:L21,DR15 + 1) + DZ14," ")," ")</f>
        <v xml:space="preserve"> </v>
      </c>
      <c r="EA15" s="61" t="str">
        <f ca="1">IFERROR(IF(ISNUMBER(DR15),INDEX('1.Locations'!J2:J21,DR15 + 1)," ")," ")</f>
        <v xml:space="preserve"> </v>
      </c>
      <c r="EB15" s="61" t="str">
        <f ca="1">IFERROR(IF(ISNUMBER(DR15),INDEX('1.Locations'!K2:K21,DR15 + 1)," ")," ")</f>
        <v xml:space="preserve"> </v>
      </c>
      <c r="EC15" s="61" t="str">
        <f ca="1">IFERROR(IF(ISNUMBER(DR15),IF(DQ15 = DQ5, 0, EA15 + EC14)," ")," ")</f>
        <v xml:space="preserve"> </v>
      </c>
      <c r="ED15" s="61" t="str">
        <f ca="1">IFERROR(IF(ISNUMBER(DR15),IF(DQ16 = DQ5, 0, IF(DQ16 = "", 0, ED16 + EB16))," ")," ")</f>
        <v xml:space="preserve"> </v>
      </c>
      <c r="EE15" s="60" t="str">
        <f ca="1">IFERROR(IF(ISNUMBER(DR15),EC15 + ED15," ")," ")</f>
        <v xml:space="preserve"> </v>
      </c>
      <c r="EG15" s="16">
        <v>10</v>
      </c>
      <c r="EH15" s="65"/>
      <c r="EI15" s="60" t="str">
        <f ca="1">IFERROR(MATCH(INDIRECT("EH15"),'1.Locations'!B2:B21, 0) - 1," ")</f>
        <v xml:space="preserve"> </v>
      </c>
      <c r="EJ15" s="60" t="e">
        <f ca="1">IFERROR(IF(ISNUMBER(EI15),INDEX('1.Locations'!D2:D21,EI15 + 1),NA()),NA())</f>
        <v>#N/A</v>
      </c>
      <c r="EK15" s="60" t="e">
        <f ca="1">IFERROR(IF(ISNUMBER(EI15),INDEX('1.Locations'!E2:E21,EI15 + 1),NA()),NA())</f>
        <v>#N/A</v>
      </c>
      <c r="EL15" s="61" t="str">
        <f ca="1">IFERROR(IF(ISNUMBER(EI15),INDEX('2.Distances'!C2:C401,EI14*20+EI15+ 1) +EL14," ")," ")</f>
        <v xml:space="preserve"> </v>
      </c>
      <c r="EM15" s="62" t="str">
        <f ca="1">IFERROR(IF(ISNUMBER(EI15),'3.Vehicles'!F2 * INDEX('2.Distances'!D2:D401,EI14*20+EI15 + 1) +EM14," ")," ")</f>
        <v xml:space="preserve"> </v>
      </c>
      <c r="EN15" s="63" t="str">
        <f ca="1">IFERROR(IF(ISNUMBER(EI15),'3.Vehicles'!F2 * INDEX('2.Distances'!D2:D401,EI14*20+EI15 + 1) +EO14," ")," ")</f>
        <v xml:space="preserve"> </v>
      </c>
      <c r="EO15" s="63" t="str">
        <f ca="1">IFERROR(IF(AND(EI5&lt;&gt;EI15,ISNUMBER(EN15)),INDEX('1.Locations'!I2:I21,EI15 + 1) + MAX(EN15,INDEX('1.Locations'!F2:F21,EI15 + 1))," ")," ")</f>
        <v xml:space="preserve"> </v>
      </c>
      <c r="EP15" s="62" t="str">
        <f ca="1">IFERROR(IF(AND(EH15 = EH5, EH16 = ""), EN15 - EO5, EO15 - EO5)," ")</f>
        <v xml:space="preserve"> </v>
      </c>
      <c r="EQ15" s="60" t="str">
        <f ca="1">IFERROR(IF(ISNUMBER(EI15),INDEX('1.Locations'!L2:L21,EI15 + 1) + EQ14," ")," ")</f>
        <v xml:space="preserve"> </v>
      </c>
      <c r="ER15" s="61" t="str">
        <f ca="1">IFERROR(IF(ISNUMBER(EI15),INDEX('1.Locations'!J2:J21,EI15 + 1)," ")," ")</f>
        <v xml:space="preserve"> </v>
      </c>
      <c r="ES15" s="61" t="str">
        <f ca="1">IFERROR(IF(ISNUMBER(EI15),INDEX('1.Locations'!K2:K21,EI15 + 1)," ")," ")</f>
        <v xml:space="preserve"> </v>
      </c>
      <c r="ET15" s="61" t="str">
        <f ca="1">IFERROR(IF(ISNUMBER(EI15),IF(EH15 = EH5, 0, ER15 + ET14)," ")," ")</f>
        <v xml:space="preserve"> </v>
      </c>
      <c r="EU15" s="61" t="str">
        <f ca="1">IFERROR(IF(ISNUMBER(EI15),IF(EH16 = EH5, 0, IF(EH16 = "", 0, EU16 + ES16))," ")," ")</f>
        <v xml:space="preserve"> </v>
      </c>
      <c r="EV15" s="60" t="str">
        <f ca="1">IFERROR(IF(ISNUMBER(EI15),ET15 + EU15," ")," ")</f>
        <v xml:space="preserve"> </v>
      </c>
      <c r="EX15" s="16">
        <v>10</v>
      </c>
      <c r="EY15" s="65"/>
      <c r="EZ15" s="60" t="str">
        <f ca="1">IFERROR(MATCH(INDIRECT("EY15"),'1.Locations'!B2:B21, 0) - 1," ")</f>
        <v xml:space="preserve"> </v>
      </c>
      <c r="FA15" s="60" t="e">
        <f ca="1">IFERROR(IF(ISNUMBER(EZ15),INDEX('1.Locations'!D2:D21,EZ15 + 1),NA()),NA())</f>
        <v>#N/A</v>
      </c>
      <c r="FB15" s="60" t="e">
        <f ca="1">IFERROR(IF(ISNUMBER(EZ15),INDEX('1.Locations'!E2:E21,EZ15 + 1),NA()),NA())</f>
        <v>#N/A</v>
      </c>
      <c r="FC15" s="61" t="str">
        <f ca="1">IFERROR(IF(ISNUMBER(EZ15),INDEX('2.Distances'!C2:C401,EZ14*20+EZ15+ 1) +FC14," ")," ")</f>
        <v xml:space="preserve"> </v>
      </c>
      <c r="FD15" s="62" t="str">
        <f ca="1">IFERROR(IF(ISNUMBER(EZ15),'3.Vehicles'!F2 * INDEX('2.Distances'!D2:D401,EZ14*20+EZ15 + 1) +FD14," ")," ")</f>
        <v xml:space="preserve"> </v>
      </c>
      <c r="FE15" s="63" t="str">
        <f ca="1">IFERROR(IF(ISNUMBER(EZ15),'3.Vehicles'!F2 * INDEX('2.Distances'!D2:D401,EZ14*20+EZ15 + 1) +FF14," ")," ")</f>
        <v xml:space="preserve"> </v>
      </c>
      <c r="FF15" s="63" t="str">
        <f ca="1">IFERROR(IF(AND(EZ5&lt;&gt;EZ15,ISNUMBER(FE15)),INDEX('1.Locations'!I2:I21,EZ15 + 1) + MAX(FE15,INDEX('1.Locations'!F2:F21,EZ15 + 1))," ")," ")</f>
        <v xml:space="preserve"> </v>
      </c>
      <c r="FG15" s="62" t="str">
        <f ca="1">IFERROR(IF(AND(EY15 = EY5, EY16 = ""), FE15 - FF5, FF15 - FF5)," ")</f>
        <v xml:space="preserve"> </v>
      </c>
      <c r="FH15" s="60" t="str">
        <f ca="1">IFERROR(IF(ISNUMBER(EZ15),INDEX('1.Locations'!L2:L21,EZ15 + 1) + FH14," ")," ")</f>
        <v xml:space="preserve"> </v>
      </c>
      <c r="FI15" s="61" t="str">
        <f ca="1">IFERROR(IF(ISNUMBER(EZ15),INDEX('1.Locations'!J2:J21,EZ15 + 1)," ")," ")</f>
        <v xml:space="preserve"> </v>
      </c>
      <c r="FJ15" s="61" t="str">
        <f ca="1">IFERROR(IF(ISNUMBER(EZ15),INDEX('1.Locations'!K2:K21,EZ15 + 1)," ")," ")</f>
        <v xml:space="preserve"> </v>
      </c>
      <c r="FK15" s="61" t="str">
        <f ca="1">IFERROR(IF(ISNUMBER(EZ15),IF(EY15 = EY5, 0, FI15 + FK14)," ")," ")</f>
        <v xml:space="preserve"> </v>
      </c>
      <c r="FL15" s="61" t="str">
        <f ca="1">IFERROR(IF(ISNUMBER(EZ15),IF(EY16 = EY5, 0, IF(EY16 = "", 0, FL16 + FJ16))," ")," ")</f>
        <v xml:space="preserve"> </v>
      </c>
      <c r="FM15" s="60" t="str">
        <f ca="1">IFERROR(IF(ISNUMBER(EZ15),FK15 + FL15," ")," ")</f>
        <v xml:space="preserve"> </v>
      </c>
    </row>
    <row r="16" spans="1:169" x14ac:dyDescent="0.3">
      <c r="A16" s="16">
        <v>11</v>
      </c>
      <c r="B16" s="59"/>
      <c r="C16" s="60" t="str">
        <f ca="1">IFERROR(MATCH(INDIRECT("B16"),'1.Locations'!B2:B21, 0) - 1," ")</f>
        <v xml:space="preserve"> </v>
      </c>
      <c r="D16" s="60" t="e">
        <f ca="1">IFERROR(IF(ISNUMBER(C16),INDEX('1.Locations'!D2:D21,C16 + 1),NA()),NA())</f>
        <v>#N/A</v>
      </c>
      <c r="E16" s="60" t="e">
        <f ca="1">IFERROR(IF(ISNUMBER(C16),INDEX('1.Locations'!E2:E21,C16 + 1),NA()),NA())</f>
        <v>#N/A</v>
      </c>
      <c r="F16" s="61" t="str">
        <f ca="1">IFERROR(IF(ISNUMBER(C16),INDEX('2.Distances'!C2:C401,C15*20+C16+ 1) +F15," ")," ")</f>
        <v xml:space="preserve"> </v>
      </c>
      <c r="G16" s="62" t="str">
        <f ca="1">IFERROR(IF(ISNUMBER(C16),'3.Vehicles'!F2 * INDEX('2.Distances'!D2:D401,C15*20+C16 + 1) +G15," ")," ")</f>
        <v xml:space="preserve"> </v>
      </c>
      <c r="H16" s="63" t="str">
        <f ca="1">IFERROR(IF(ISNUMBER(C16),'3.Vehicles'!F2 * INDEX('2.Distances'!D2:D401,C15*20+C16 + 1) +I15," ")," ")</f>
        <v xml:space="preserve"> </v>
      </c>
      <c r="I16" s="63" t="str">
        <f ca="1">IFERROR(IF(AND(C5&lt;&gt;C16,ISNUMBER(H16)),INDEX('1.Locations'!I2:I21,C16 + 1) + MAX(H16,INDEX('1.Locations'!F2:F21,C16 + 1))," ")," ")</f>
        <v xml:space="preserve"> </v>
      </c>
      <c r="J16" s="62" t="str">
        <f ca="1">IFERROR(IF(AND(B16 = B5, B17 = ""), H16 - I5, I16 - I5)," ")</f>
        <v xml:space="preserve"> </v>
      </c>
      <c r="K16" s="60" t="str">
        <f ca="1">IFERROR(IF(ISNUMBER(C16),INDEX('1.Locations'!L2:L21,C16 + 1) + K15," ")," ")</f>
        <v xml:space="preserve"> </v>
      </c>
      <c r="L16" s="61" t="str">
        <f ca="1">IFERROR(IF(ISNUMBER(C16),INDEX('1.Locations'!J2:J21,C16 + 1)," ")," ")</f>
        <v xml:space="preserve"> </v>
      </c>
      <c r="M16" s="61" t="str">
        <f ca="1">IFERROR(IF(ISNUMBER(C16),INDEX('1.Locations'!K2:K21,C16 + 1)," ")," ")</f>
        <v xml:space="preserve"> </v>
      </c>
      <c r="N16" s="61" t="str">
        <f ca="1">IFERROR(IF(ISNUMBER(C16),IF(B16 = B5, 0, L16 + N15)," ")," ")</f>
        <v xml:space="preserve"> </v>
      </c>
      <c r="O16" s="61" t="str">
        <f ca="1">IFERROR(IF(ISNUMBER(C16),IF(B17 = B5, 0, IF(B17 = "", 0, O17 + M17))," ")," ")</f>
        <v xml:space="preserve"> </v>
      </c>
      <c r="P16" s="60" t="str">
        <f ca="1">IFERROR(IF(ISNUMBER(C16),N16 + O16," ")," ")</f>
        <v xml:space="preserve"> </v>
      </c>
      <c r="R16" s="16">
        <v>11</v>
      </c>
      <c r="S16" s="59"/>
      <c r="T16" s="60" t="str">
        <f ca="1">IFERROR(MATCH(INDIRECT("S16"),'1.Locations'!B2:B21, 0) - 1," ")</f>
        <v xml:space="preserve"> </v>
      </c>
      <c r="U16" s="60" t="e">
        <f ca="1">IFERROR(IF(ISNUMBER(T16),INDEX('1.Locations'!D2:D21,T16 + 1),NA()),NA())</f>
        <v>#N/A</v>
      </c>
      <c r="V16" s="60" t="e">
        <f ca="1">IFERROR(IF(ISNUMBER(T16),INDEX('1.Locations'!E2:E21,T16 + 1),NA()),NA())</f>
        <v>#N/A</v>
      </c>
      <c r="W16" s="61" t="str">
        <f ca="1">IFERROR(IF(ISNUMBER(T16),INDEX('2.Distances'!C2:C401,T15*20+T16+ 1) +W15," ")," ")</f>
        <v xml:space="preserve"> </v>
      </c>
      <c r="X16" s="62" t="str">
        <f ca="1">IFERROR(IF(ISNUMBER(T16),'3.Vehicles'!F2 * INDEX('2.Distances'!D2:D401,T15*20+T16 + 1) +X15," ")," ")</f>
        <v xml:space="preserve"> </v>
      </c>
      <c r="Y16" s="63" t="str">
        <f ca="1">IFERROR(IF(ISNUMBER(T16),'3.Vehicles'!F2 * INDEX('2.Distances'!D2:D401,T15*20+T16 + 1) +Z15," ")," ")</f>
        <v xml:space="preserve"> </v>
      </c>
      <c r="Z16" s="63" t="str">
        <f ca="1">IFERROR(IF(AND(T5&lt;&gt;T16,ISNUMBER(Y16)),INDEX('1.Locations'!I2:I21,T16 + 1) + MAX(Y16,INDEX('1.Locations'!F2:F21,T16 + 1))," ")," ")</f>
        <v xml:space="preserve"> </v>
      </c>
      <c r="AA16" s="62" t="str">
        <f ca="1">IFERROR(IF(AND(S16 = S5, S17 = ""), Y16 - Z5, Z16 - Z5)," ")</f>
        <v xml:space="preserve"> </v>
      </c>
      <c r="AB16" s="60" t="str">
        <f ca="1">IFERROR(IF(ISNUMBER(T16),INDEX('1.Locations'!L2:L21,T16 + 1) + AB15," ")," ")</f>
        <v xml:space="preserve"> </v>
      </c>
      <c r="AC16" s="61" t="str">
        <f ca="1">IFERROR(IF(ISNUMBER(T16),INDEX('1.Locations'!J2:J21,T16 + 1)," ")," ")</f>
        <v xml:space="preserve"> </v>
      </c>
      <c r="AD16" s="61" t="str">
        <f ca="1">IFERROR(IF(ISNUMBER(T16),INDEX('1.Locations'!K2:K21,T16 + 1)," ")," ")</f>
        <v xml:space="preserve"> </v>
      </c>
      <c r="AE16" s="61" t="str">
        <f ca="1">IFERROR(IF(ISNUMBER(T16),IF(S16 = S5, 0, AC16 + AE15)," ")," ")</f>
        <v xml:space="preserve"> </v>
      </c>
      <c r="AF16" s="61" t="str">
        <f ca="1">IFERROR(IF(ISNUMBER(T16),IF(S17 = S5, 0, IF(S17 = "", 0, AF17 + AD17))," ")," ")</f>
        <v xml:space="preserve"> </v>
      </c>
      <c r="AG16" s="60" t="str">
        <f ca="1">IFERROR(IF(ISNUMBER(T16),AE16 + AF16," ")," ")</f>
        <v xml:space="preserve"> </v>
      </c>
      <c r="AI16" s="16">
        <v>11</v>
      </c>
      <c r="AJ16" s="59"/>
      <c r="AK16" s="60" t="str">
        <f ca="1">IFERROR(MATCH(INDIRECT("AJ16"),'1.Locations'!B2:B21, 0) - 1," ")</f>
        <v xml:space="preserve"> </v>
      </c>
      <c r="AL16" s="60" t="e">
        <f ca="1">IFERROR(IF(ISNUMBER(AK16),INDEX('1.Locations'!D2:D21,AK16 + 1),NA()),NA())</f>
        <v>#N/A</v>
      </c>
      <c r="AM16" s="60" t="e">
        <f ca="1">IFERROR(IF(ISNUMBER(AK16),INDEX('1.Locations'!E2:E21,AK16 + 1),NA()),NA())</f>
        <v>#N/A</v>
      </c>
      <c r="AN16" s="61" t="str">
        <f ca="1">IFERROR(IF(ISNUMBER(AK16),INDEX('2.Distances'!C2:C401,AK15*20+AK16+ 1) +AN15," ")," ")</f>
        <v xml:space="preserve"> </v>
      </c>
      <c r="AO16" s="62" t="str">
        <f ca="1">IFERROR(IF(ISNUMBER(AK16),'3.Vehicles'!F2 * INDEX('2.Distances'!D2:D401,AK15*20+AK16 + 1) +AO15," ")," ")</f>
        <v xml:space="preserve"> </v>
      </c>
      <c r="AP16" s="63" t="str">
        <f ca="1">IFERROR(IF(ISNUMBER(AK16),'3.Vehicles'!F2 * INDEX('2.Distances'!D2:D401,AK15*20+AK16 + 1) +AQ15," ")," ")</f>
        <v xml:space="preserve"> </v>
      </c>
      <c r="AQ16" s="63" t="str">
        <f ca="1">IFERROR(IF(AND(AK5&lt;&gt;AK16,ISNUMBER(AP16)),INDEX('1.Locations'!I2:I21,AK16 + 1) + MAX(AP16,INDEX('1.Locations'!F2:F21,AK16 + 1))," ")," ")</f>
        <v xml:space="preserve"> </v>
      </c>
      <c r="AR16" s="62" t="str">
        <f ca="1">IFERROR(IF(AND(AJ16 = AJ5, AJ17 = ""), AP16 - AQ5, AQ16 - AQ5)," ")</f>
        <v xml:space="preserve"> </v>
      </c>
      <c r="AS16" s="60" t="str">
        <f ca="1">IFERROR(IF(ISNUMBER(AK16),INDEX('1.Locations'!L2:L21,AK16 + 1) + AS15," ")," ")</f>
        <v xml:space="preserve"> </v>
      </c>
      <c r="AT16" s="61" t="str">
        <f ca="1">IFERROR(IF(ISNUMBER(AK16),INDEX('1.Locations'!J2:J21,AK16 + 1)," ")," ")</f>
        <v xml:space="preserve"> </v>
      </c>
      <c r="AU16" s="61" t="str">
        <f ca="1">IFERROR(IF(ISNUMBER(AK16),INDEX('1.Locations'!K2:K21,AK16 + 1)," ")," ")</f>
        <v xml:space="preserve"> </v>
      </c>
      <c r="AV16" s="61" t="str">
        <f ca="1">IFERROR(IF(ISNUMBER(AK16),IF(AJ16 = AJ5, 0, AT16 + AV15)," ")," ")</f>
        <v xml:space="preserve"> </v>
      </c>
      <c r="AW16" s="61" t="str">
        <f ca="1">IFERROR(IF(ISNUMBER(AK16),IF(AJ17 = AJ5, 0, IF(AJ17 = "", 0, AW17 + AU17))," ")," ")</f>
        <v xml:space="preserve"> </v>
      </c>
      <c r="AX16" s="60" t="str">
        <f ca="1">IFERROR(IF(ISNUMBER(AK16),AV16 + AW16," ")," ")</f>
        <v xml:space="preserve"> </v>
      </c>
      <c r="AZ16" s="16">
        <v>11</v>
      </c>
      <c r="BA16" s="59"/>
      <c r="BB16" s="60" t="str">
        <f ca="1">IFERROR(MATCH(INDIRECT("BA16"),'1.Locations'!B2:B21, 0) - 1," ")</f>
        <v xml:space="preserve"> </v>
      </c>
      <c r="BC16" s="60" t="e">
        <f ca="1">IFERROR(IF(ISNUMBER(BB16),INDEX('1.Locations'!D2:D21,BB16 + 1),NA()),NA())</f>
        <v>#N/A</v>
      </c>
      <c r="BD16" s="60" t="e">
        <f ca="1">IFERROR(IF(ISNUMBER(BB16),INDEX('1.Locations'!E2:E21,BB16 + 1),NA()),NA())</f>
        <v>#N/A</v>
      </c>
      <c r="BE16" s="61" t="str">
        <f ca="1">IFERROR(IF(ISNUMBER(BB16),INDEX('2.Distances'!C2:C401,BB15*20+BB16+ 1) +BE15," ")," ")</f>
        <v xml:space="preserve"> </v>
      </c>
      <c r="BF16" s="62" t="str">
        <f ca="1">IFERROR(IF(ISNUMBER(BB16),'3.Vehicles'!F2 * INDEX('2.Distances'!D2:D401,BB15*20+BB16 + 1) +BF15," ")," ")</f>
        <v xml:space="preserve"> </v>
      </c>
      <c r="BG16" s="63" t="str">
        <f ca="1">IFERROR(IF(ISNUMBER(BB16),'3.Vehicles'!F2 * INDEX('2.Distances'!D2:D401,BB15*20+BB16 + 1) +BH15," ")," ")</f>
        <v xml:space="preserve"> </v>
      </c>
      <c r="BH16" s="63" t="str">
        <f ca="1">IFERROR(IF(AND(BB5&lt;&gt;BB16,ISNUMBER(BG16)),INDEX('1.Locations'!I2:I21,BB16 + 1) + MAX(BG16,INDEX('1.Locations'!F2:F21,BB16 + 1))," ")," ")</f>
        <v xml:space="preserve"> </v>
      </c>
      <c r="BI16" s="62" t="str">
        <f ca="1">IFERROR(IF(AND(BA16 = BA5, BA17 = ""), BG16 - BH5, BH16 - BH5)," ")</f>
        <v xml:space="preserve"> </v>
      </c>
      <c r="BJ16" s="60" t="str">
        <f ca="1">IFERROR(IF(ISNUMBER(BB16),INDEX('1.Locations'!L2:L21,BB16 + 1) + BJ15," ")," ")</f>
        <v xml:space="preserve"> </v>
      </c>
      <c r="BK16" s="61" t="str">
        <f ca="1">IFERROR(IF(ISNUMBER(BB16),INDEX('1.Locations'!J2:J21,BB16 + 1)," ")," ")</f>
        <v xml:space="preserve"> </v>
      </c>
      <c r="BL16" s="61" t="str">
        <f ca="1">IFERROR(IF(ISNUMBER(BB16),INDEX('1.Locations'!K2:K21,BB16 + 1)," ")," ")</f>
        <v xml:space="preserve"> </v>
      </c>
      <c r="BM16" s="61" t="str">
        <f ca="1">IFERROR(IF(ISNUMBER(BB16),IF(BA16 = BA5, 0, BK16 + BM15)," ")," ")</f>
        <v xml:space="preserve"> </v>
      </c>
      <c r="BN16" s="61" t="str">
        <f ca="1">IFERROR(IF(ISNUMBER(BB16),IF(BA17 = BA5, 0, IF(BA17 = "", 0, BN17 + BL17))," ")," ")</f>
        <v xml:space="preserve"> </v>
      </c>
      <c r="BO16" s="60" t="str">
        <f ca="1">IFERROR(IF(ISNUMBER(BB16),BM16 + BN16," ")," ")</f>
        <v xml:space="preserve"> </v>
      </c>
      <c r="BQ16" s="16">
        <v>11</v>
      </c>
      <c r="BR16" s="59"/>
      <c r="BS16" s="60" t="str">
        <f ca="1">IFERROR(MATCH(INDIRECT("BR16"),'1.Locations'!B2:B21, 0) - 1," ")</f>
        <v xml:space="preserve"> </v>
      </c>
      <c r="BT16" s="60" t="e">
        <f ca="1">IFERROR(IF(ISNUMBER(BS16),INDEX('1.Locations'!D2:D21,BS16 + 1),NA()),NA())</f>
        <v>#N/A</v>
      </c>
      <c r="BU16" s="60" t="e">
        <f ca="1">IFERROR(IF(ISNUMBER(BS16),INDEX('1.Locations'!E2:E21,BS16 + 1),NA()),NA())</f>
        <v>#N/A</v>
      </c>
      <c r="BV16" s="61" t="str">
        <f ca="1">IFERROR(IF(ISNUMBER(BS16),INDEX('2.Distances'!C2:C401,BS15*20+BS16+ 1) +BV15," ")," ")</f>
        <v xml:space="preserve"> </v>
      </c>
      <c r="BW16" s="62" t="str">
        <f ca="1">IFERROR(IF(ISNUMBER(BS16),'3.Vehicles'!F2 * INDEX('2.Distances'!D2:D401,BS15*20+BS16 + 1) +BW15," ")," ")</f>
        <v xml:space="preserve"> </v>
      </c>
      <c r="BX16" s="63" t="str">
        <f ca="1">IFERROR(IF(ISNUMBER(BS16),'3.Vehicles'!F2 * INDEX('2.Distances'!D2:D401,BS15*20+BS16 + 1) +BY15," ")," ")</f>
        <v xml:space="preserve"> </v>
      </c>
      <c r="BY16" s="63" t="str">
        <f ca="1">IFERROR(IF(AND(BS5&lt;&gt;BS16,ISNUMBER(BX16)),INDEX('1.Locations'!I2:I21,BS16 + 1) + MAX(BX16,INDEX('1.Locations'!F2:F21,BS16 + 1))," ")," ")</f>
        <v xml:space="preserve"> </v>
      </c>
      <c r="BZ16" s="62" t="str">
        <f ca="1">IFERROR(IF(AND(BR16 = BR5, BR17 = ""), BX16 - BY5, BY16 - BY5)," ")</f>
        <v xml:space="preserve"> </v>
      </c>
      <c r="CA16" s="60" t="str">
        <f ca="1">IFERROR(IF(ISNUMBER(BS16),INDEX('1.Locations'!L2:L21,BS16 + 1) + CA15," ")," ")</f>
        <v xml:space="preserve"> </v>
      </c>
      <c r="CB16" s="61" t="str">
        <f ca="1">IFERROR(IF(ISNUMBER(BS16),INDEX('1.Locations'!J2:J21,BS16 + 1)," ")," ")</f>
        <v xml:space="preserve"> </v>
      </c>
      <c r="CC16" s="61" t="str">
        <f ca="1">IFERROR(IF(ISNUMBER(BS16),INDEX('1.Locations'!K2:K21,BS16 + 1)," ")," ")</f>
        <v xml:space="preserve"> </v>
      </c>
      <c r="CD16" s="61" t="str">
        <f ca="1">IFERROR(IF(ISNUMBER(BS16),IF(BR16 = BR5, 0, CB16 + CD15)," ")," ")</f>
        <v xml:space="preserve"> </v>
      </c>
      <c r="CE16" s="61" t="str">
        <f ca="1">IFERROR(IF(ISNUMBER(BS16),IF(BR17 = BR5, 0, IF(BR17 = "", 0, CE17 + CC17))," ")," ")</f>
        <v xml:space="preserve"> </v>
      </c>
      <c r="CF16" s="60" t="str">
        <f ca="1">IFERROR(IF(ISNUMBER(BS16),CD16 + CE16," ")," ")</f>
        <v xml:space="preserve"> </v>
      </c>
      <c r="CH16" s="16">
        <v>11</v>
      </c>
      <c r="CI16" s="59"/>
      <c r="CJ16" s="60" t="str">
        <f ca="1">IFERROR(MATCH(INDIRECT("CI16"),'1.Locations'!B2:B21, 0) - 1," ")</f>
        <v xml:space="preserve"> </v>
      </c>
      <c r="CK16" s="60" t="e">
        <f ca="1">IFERROR(IF(ISNUMBER(CJ16),INDEX('1.Locations'!D2:D21,CJ16 + 1),NA()),NA())</f>
        <v>#N/A</v>
      </c>
      <c r="CL16" s="60" t="e">
        <f ca="1">IFERROR(IF(ISNUMBER(CJ16),INDEX('1.Locations'!E2:E21,CJ16 + 1),NA()),NA())</f>
        <v>#N/A</v>
      </c>
      <c r="CM16" s="61" t="str">
        <f ca="1">IFERROR(IF(ISNUMBER(CJ16),INDEX('2.Distances'!C2:C401,CJ15*20+CJ16+ 1) +CM15," ")," ")</f>
        <v xml:space="preserve"> </v>
      </c>
      <c r="CN16" s="62" t="str">
        <f ca="1">IFERROR(IF(ISNUMBER(CJ16),'3.Vehicles'!F2 * INDEX('2.Distances'!D2:D401,CJ15*20+CJ16 + 1) +CN15," ")," ")</f>
        <v xml:space="preserve"> </v>
      </c>
      <c r="CO16" s="63" t="str">
        <f ca="1">IFERROR(IF(ISNUMBER(CJ16),'3.Vehicles'!F2 * INDEX('2.Distances'!D2:D401,CJ15*20+CJ16 + 1) +CP15," ")," ")</f>
        <v xml:space="preserve"> </v>
      </c>
      <c r="CP16" s="63" t="str">
        <f ca="1">IFERROR(IF(AND(CJ5&lt;&gt;CJ16,ISNUMBER(CO16)),INDEX('1.Locations'!I2:I21,CJ16 + 1) + MAX(CO16,INDEX('1.Locations'!F2:F21,CJ16 + 1))," ")," ")</f>
        <v xml:space="preserve"> </v>
      </c>
      <c r="CQ16" s="62" t="str">
        <f ca="1">IFERROR(IF(AND(CI16 = CI5, CI17 = ""), CO16 - CP5, CP16 - CP5)," ")</f>
        <v xml:space="preserve"> </v>
      </c>
      <c r="CR16" s="60" t="str">
        <f ca="1">IFERROR(IF(ISNUMBER(CJ16),INDEX('1.Locations'!L2:L21,CJ16 + 1) + CR15," ")," ")</f>
        <v xml:space="preserve"> </v>
      </c>
      <c r="CS16" s="61" t="str">
        <f ca="1">IFERROR(IF(ISNUMBER(CJ16),INDEX('1.Locations'!J2:J21,CJ16 + 1)," ")," ")</f>
        <v xml:space="preserve"> </v>
      </c>
      <c r="CT16" s="61" t="str">
        <f ca="1">IFERROR(IF(ISNUMBER(CJ16),INDEX('1.Locations'!K2:K21,CJ16 + 1)," ")," ")</f>
        <v xml:space="preserve"> </v>
      </c>
      <c r="CU16" s="61" t="str">
        <f ca="1">IFERROR(IF(ISNUMBER(CJ16),IF(CI16 = CI5, 0, CS16 + CU15)," ")," ")</f>
        <v xml:space="preserve"> </v>
      </c>
      <c r="CV16" s="61" t="str">
        <f ca="1">IFERROR(IF(ISNUMBER(CJ16),IF(CI17 = CI5, 0, IF(CI17 = "", 0, CV17 + CT17))," ")," ")</f>
        <v xml:space="preserve"> </v>
      </c>
      <c r="CW16" s="60" t="str">
        <f ca="1">IFERROR(IF(ISNUMBER(CJ16),CU16 + CV16," ")," ")</f>
        <v xml:space="preserve"> </v>
      </c>
      <c r="CY16" s="16">
        <v>11</v>
      </c>
      <c r="CZ16" s="59"/>
      <c r="DA16" s="60" t="str">
        <f ca="1">IFERROR(MATCH(INDIRECT("CZ16"),'1.Locations'!B2:B21, 0) - 1," ")</f>
        <v xml:space="preserve"> </v>
      </c>
      <c r="DB16" s="60" t="e">
        <f ca="1">IFERROR(IF(ISNUMBER(DA16),INDEX('1.Locations'!D2:D21,DA16 + 1),NA()),NA())</f>
        <v>#N/A</v>
      </c>
      <c r="DC16" s="60" t="e">
        <f ca="1">IFERROR(IF(ISNUMBER(DA16),INDEX('1.Locations'!E2:E21,DA16 + 1),NA()),NA())</f>
        <v>#N/A</v>
      </c>
      <c r="DD16" s="61" t="str">
        <f ca="1">IFERROR(IF(ISNUMBER(DA16),INDEX('2.Distances'!C2:C401,DA15*20+DA16+ 1) +DD15," ")," ")</f>
        <v xml:space="preserve"> </v>
      </c>
      <c r="DE16" s="62" t="str">
        <f ca="1">IFERROR(IF(ISNUMBER(DA16),'3.Vehicles'!F2 * INDEX('2.Distances'!D2:D401,DA15*20+DA16 + 1) +DE15," ")," ")</f>
        <v xml:space="preserve"> </v>
      </c>
      <c r="DF16" s="63" t="str">
        <f ca="1">IFERROR(IF(ISNUMBER(DA16),'3.Vehicles'!F2 * INDEX('2.Distances'!D2:D401,DA15*20+DA16 + 1) +DG15," ")," ")</f>
        <v xml:space="preserve"> </v>
      </c>
      <c r="DG16" s="63" t="str">
        <f ca="1">IFERROR(IF(AND(DA5&lt;&gt;DA16,ISNUMBER(DF16)),INDEX('1.Locations'!I2:I21,DA16 + 1) + MAX(DF16,INDEX('1.Locations'!F2:F21,DA16 + 1))," ")," ")</f>
        <v xml:space="preserve"> </v>
      </c>
      <c r="DH16" s="62" t="str">
        <f ca="1">IFERROR(IF(AND(CZ16 = CZ5, CZ17 = ""), DF16 - DG5, DG16 - DG5)," ")</f>
        <v xml:space="preserve"> </v>
      </c>
      <c r="DI16" s="60" t="str">
        <f ca="1">IFERROR(IF(ISNUMBER(DA16),INDEX('1.Locations'!L2:L21,DA16 + 1) + DI15," ")," ")</f>
        <v xml:space="preserve"> </v>
      </c>
      <c r="DJ16" s="61" t="str">
        <f ca="1">IFERROR(IF(ISNUMBER(DA16),INDEX('1.Locations'!J2:J21,DA16 + 1)," ")," ")</f>
        <v xml:space="preserve"> </v>
      </c>
      <c r="DK16" s="61" t="str">
        <f ca="1">IFERROR(IF(ISNUMBER(DA16),INDEX('1.Locations'!K2:K21,DA16 + 1)," ")," ")</f>
        <v xml:space="preserve"> </v>
      </c>
      <c r="DL16" s="61" t="str">
        <f ca="1">IFERROR(IF(ISNUMBER(DA16),IF(CZ16 = CZ5, 0, DJ16 + DL15)," ")," ")</f>
        <v xml:space="preserve"> </v>
      </c>
      <c r="DM16" s="61" t="str">
        <f ca="1">IFERROR(IF(ISNUMBER(DA16),IF(CZ17 = CZ5, 0, IF(CZ17 = "", 0, DM17 + DK17))," ")," ")</f>
        <v xml:space="preserve"> </v>
      </c>
      <c r="DN16" s="60" t="str">
        <f ca="1">IFERROR(IF(ISNUMBER(DA16),DL16 + DM16," ")," ")</f>
        <v xml:space="preserve"> </v>
      </c>
      <c r="DP16" s="16">
        <v>11</v>
      </c>
      <c r="DQ16" s="59"/>
      <c r="DR16" s="60" t="str">
        <f ca="1">IFERROR(MATCH(INDIRECT("DQ16"),'1.Locations'!B2:B21, 0) - 1," ")</f>
        <v xml:space="preserve"> </v>
      </c>
      <c r="DS16" s="60" t="e">
        <f ca="1">IFERROR(IF(ISNUMBER(DR16),INDEX('1.Locations'!D2:D21,DR16 + 1),NA()),NA())</f>
        <v>#N/A</v>
      </c>
      <c r="DT16" s="60" t="e">
        <f ca="1">IFERROR(IF(ISNUMBER(DR16),INDEX('1.Locations'!E2:E21,DR16 + 1),NA()),NA())</f>
        <v>#N/A</v>
      </c>
      <c r="DU16" s="61" t="str">
        <f ca="1">IFERROR(IF(ISNUMBER(DR16),INDEX('2.Distances'!C2:C401,DR15*20+DR16+ 1) +DU15," ")," ")</f>
        <v xml:space="preserve"> </v>
      </c>
      <c r="DV16" s="62" t="str">
        <f ca="1">IFERROR(IF(ISNUMBER(DR16),'3.Vehicles'!F2 * INDEX('2.Distances'!D2:D401,DR15*20+DR16 + 1) +DV15," ")," ")</f>
        <v xml:space="preserve"> </v>
      </c>
      <c r="DW16" s="63" t="str">
        <f ca="1">IFERROR(IF(ISNUMBER(DR16),'3.Vehicles'!F2 * INDEX('2.Distances'!D2:D401,DR15*20+DR16 + 1) +DX15," ")," ")</f>
        <v xml:space="preserve"> </v>
      </c>
      <c r="DX16" s="63" t="str">
        <f ca="1">IFERROR(IF(AND(DR5&lt;&gt;DR16,ISNUMBER(DW16)),INDEX('1.Locations'!I2:I21,DR16 + 1) + MAX(DW16,INDEX('1.Locations'!F2:F21,DR16 + 1))," ")," ")</f>
        <v xml:space="preserve"> </v>
      </c>
      <c r="DY16" s="62" t="str">
        <f ca="1">IFERROR(IF(AND(DQ16 = DQ5, DQ17 = ""), DW16 - DX5, DX16 - DX5)," ")</f>
        <v xml:space="preserve"> </v>
      </c>
      <c r="DZ16" s="60" t="str">
        <f ca="1">IFERROR(IF(ISNUMBER(DR16),INDEX('1.Locations'!L2:L21,DR16 + 1) + DZ15," ")," ")</f>
        <v xml:space="preserve"> </v>
      </c>
      <c r="EA16" s="61" t="str">
        <f ca="1">IFERROR(IF(ISNUMBER(DR16),INDEX('1.Locations'!J2:J21,DR16 + 1)," ")," ")</f>
        <v xml:space="preserve"> </v>
      </c>
      <c r="EB16" s="61" t="str">
        <f ca="1">IFERROR(IF(ISNUMBER(DR16),INDEX('1.Locations'!K2:K21,DR16 + 1)," ")," ")</f>
        <v xml:space="preserve"> </v>
      </c>
      <c r="EC16" s="61" t="str">
        <f ca="1">IFERROR(IF(ISNUMBER(DR16),IF(DQ16 = DQ5, 0, EA16 + EC15)," ")," ")</f>
        <v xml:space="preserve"> </v>
      </c>
      <c r="ED16" s="61" t="str">
        <f ca="1">IFERROR(IF(ISNUMBER(DR16),IF(DQ17 = DQ5, 0, IF(DQ17 = "", 0, ED17 + EB17))," ")," ")</f>
        <v xml:space="preserve"> </v>
      </c>
      <c r="EE16" s="60" t="str">
        <f ca="1">IFERROR(IF(ISNUMBER(DR16),EC16 + ED16," ")," ")</f>
        <v xml:space="preserve"> </v>
      </c>
      <c r="EG16" s="16">
        <v>11</v>
      </c>
      <c r="EH16" s="59"/>
      <c r="EI16" s="60" t="str">
        <f ca="1">IFERROR(MATCH(INDIRECT("EH16"),'1.Locations'!B2:B21, 0) - 1," ")</f>
        <v xml:space="preserve"> </v>
      </c>
      <c r="EJ16" s="60" t="e">
        <f ca="1">IFERROR(IF(ISNUMBER(EI16),INDEX('1.Locations'!D2:D21,EI16 + 1),NA()),NA())</f>
        <v>#N/A</v>
      </c>
      <c r="EK16" s="60" t="e">
        <f ca="1">IFERROR(IF(ISNUMBER(EI16),INDEX('1.Locations'!E2:E21,EI16 + 1),NA()),NA())</f>
        <v>#N/A</v>
      </c>
      <c r="EL16" s="61" t="str">
        <f ca="1">IFERROR(IF(ISNUMBER(EI16),INDEX('2.Distances'!C2:C401,EI15*20+EI16+ 1) +EL15," ")," ")</f>
        <v xml:space="preserve"> </v>
      </c>
      <c r="EM16" s="62" t="str">
        <f ca="1">IFERROR(IF(ISNUMBER(EI16),'3.Vehicles'!F2 * INDEX('2.Distances'!D2:D401,EI15*20+EI16 + 1) +EM15," ")," ")</f>
        <v xml:space="preserve"> </v>
      </c>
      <c r="EN16" s="63" t="str">
        <f ca="1">IFERROR(IF(ISNUMBER(EI16),'3.Vehicles'!F2 * INDEX('2.Distances'!D2:D401,EI15*20+EI16 + 1) +EO15," ")," ")</f>
        <v xml:space="preserve"> </v>
      </c>
      <c r="EO16" s="63" t="str">
        <f ca="1">IFERROR(IF(AND(EI5&lt;&gt;EI16,ISNUMBER(EN16)),INDEX('1.Locations'!I2:I21,EI16 + 1) + MAX(EN16,INDEX('1.Locations'!F2:F21,EI16 + 1))," ")," ")</f>
        <v xml:space="preserve"> </v>
      </c>
      <c r="EP16" s="62" t="str">
        <f ca="1">IFERROR(IF(AND(EH16 = EH5, EH17 = ""), EN16 - EO5, EO16 - EO5)," ")</f>
        <v xml:space="preserve"> </v>
      </c>
      <c r="EQ16" s="60" t="str">
        <f ca="1">IFERROR(IF(ISNUMBER(EI16),INDEX('1.Locations'!L2:L21,EI16 + 1) + EQ15," ")," ")</f>
        <v xml:space="preserve"> </v>
      </c>
      <c r="ER16" s="61" t="str">
        <f ca="1">IFERROR(IF(ISNUMBER(EI16),INDEX('1.Locations'!J2:J21,EI16 + 1)," ")," ")</f>
        <v xml:space="preserve"> </v>
      </c>
      <c r="ES16" s="61" t="str">
        <f ca="1">IFERROR(IF(ISNUMBER(EI16),INDEX('1.Locations'!K2:K21,EI16 + 1)," ")," ")</f>
        <v xml:space="preserve"> </v>
      </c>
      <c r="ET16" s="61" t="str">
        <f ca="1">IFERROR(IF(ISNUMBER(EI16),IF(EH16 = EH5, 0, ER16 + ET15)," ")," ")</f>
        <v xml:space="preserve"> </v>
      </c>
      <c r="EU16" s="61" t="str">
        <f ca="1">IFERROR(IF(ISNUMBER(EI16),IF(EH17 = EH5, 0, IF(EH17 = "", 0, EU17 + ES17))," ")," ")</f>
        <v xml:space="preserve"> </v>
      </c>
      <c r="EV16" s="60" t="str">
        <f ca="1">IFERROR(IF(ISNUMBER(EI16),ET16 + EU16," ")," ")</f>
        <v xml:space="preserve"> </v>
      </c>
      <c r="EX16" s="16">
        <v>11</v>
      </c>
      <c r="EY16" s="59"/>
      <c r="EZ16" s="60" t="str">
        <f ca="1">IFERROR(MATCH(INDIRECT("EY16"),'1.Locations'!B2:B21, 0) - 1," ")</f>
        <v xml:space="preserve"> </v>
      </c>
      <c r="FA16" s="60" t="e">
        <f ca="1">IFERROR(IF(ISNUMBER(EZ16),INDEX('1.Locations'!D2:D21,EZ16 + 1),NA()),NA())</f>
        <v>#N/A</v>
      </c>
      <c r="FB16" s="60" t="e">
        <f ca="1">IFERROR(IF(ISNUMBER(EZ16),INDEX('1.Locations'!E2:E21,EZ16 + 1),NA()),NA())</f>
        <v>#N/A</v>
      </c>
      <c r="FC16" s="61" t="str">
        <f ca="1">IFERROR(IF(ISNUMBER(EZ16),INDEX('2.Distances'!C2:C401,EZ15*20+EZ16+ 1) +FC15," ")," ")</f>
        <v xml:space="preserve"> </v>
      </c>
      <c r="FD16" s="62" t="str">
        <f ca="1">IFERROR(IF(ISNUMBER(EZ16),'3.Vehicles'!F2 * INDEX('2.Distances'!D2:D401,EZ15*20+EZ16 + 1) +FD15," ")," ")</f>
        <v xml:space="preserve"> </v>
      </c>
      <c r="FE16" s="63" t="str">
        <f ca="1">IFERROR(IF(ISNUMBER(EZ16),'3.Vehicles'!F2 * INDEX('2.Distances'!D2:D401,EZ15*20+EZ16 + 1) +FF15," ")," ")</f>
        <v xml:space="preserve"> </v>
      </c>
      <c r="FF16" s="63" t="str">
        <f ca="1">IFERROR(IF(AND(EZ5&lt;&gt;EZ16,ISNUMBER(FE16)),INDEX('1.Locations'!I2:I21,EZ16 + 1) + MAX(FE16,INDEX('1.Locations'!F2:F21,EZ16 + 1))," ")," ")</f>
        <v xml:space="preserve"> </v>
      </c>
      <c r="FG16" s="62" t="str">
        <f ca="1">IFERROR(IF(AND(EY16 = EY5, EY17 = ""), FE16 - FF5, FF16 - FF5)," ")</f>
        <v xml:space="preserve"> </v>
      </c>
      <c r="FH16" s="60" t="str">
        <f ca="1">IFERROR(IF(ISNUMBER(EZ16),INDEX('1.Locations'!L2:L21,EZ16 + 1) + FH15," ")," ")</f>
        <v xml:space="preserve"> </v>
      </c>
      <c r="FI16" s="61" t="str">
        <f ca="1">IFERROR(IF(ISNUMBER(EZ16),INDEX('1.Locations'!J2:J21,EZ16 + 1)," ")," ")</f>
        <v xml:space="preserve"> </v>
      </c>
      <c r="FJ16" s="61" t="str">
        <f ca="1">IFERROR(IF(ISNUMBER(EZ16),INDEX('1.Locations'!K2:K21,EZ16 + 1)," ")," ")</f>
        <v xml:space="preserve"> </v>
      </c>
      <c r="FK16" s="61" t="str">
        <f ca="1">IFERROR(IF(ISNUMBER(EZ16),IF(EY16 = EY5, 0, FI16 + FK15)," ")," ")</f>
        <v xml:space="preserve"> </v>
      </c>
      <c r="FL16" s="61" t="str">
        <f ca="1">IFERROR(IF(ISNUMBER(EZ16),IF(EY17 = EY5, 0, IF(EY17 = "", 0, FL17 + FJ17))," ")," ")</f>
        <v xml:space="preserve"> </v>
      </c>
      <c r="FM16" s="60" t="str">
        <f ca="1">IFERROR(IF(ISNUMBER(EZ16),FK16 + FL16," ")," ")</f>
        <v xml:space="preserve"> </v>
      </c>
    </row>
    <row r="17" spans="1:169" x14ac:dyDescent="0.3">
      <c r="A17" s="16">
        <v>12</v>
      </c>
      <c r="B17" s="65"/>
      <c r="C17" s="60" t="str">
        <f ca="1">IFERROR(MATCH(INDIRECT("B17"),'1.Locations'!B2:B21, 0) - 1," ")</f>
        <v xml:space="preserve"> </v>
      </c>
      <c r="D17" s="60" t="e">
        <f ca="1">IFERROR(IF(ISNUMBER(C17),INDEX('1.Locations'!D2:D21,C17 + 1),NA()),NA())</f>
        <v>#N/A</v>
      </c>
      <c r="E17" s="60" t="e">
        <f ca="1">IFERROR(IF(ISNUMBER(C17),INDEX('1.Locations'!E2:E21,C17 + 1),NA()),NA())</f>
        <v>#N/A</v>
      </c>
      <c r="F17" s="61" t="str">
        <f ca="1">IFERROR(IF(ISNUMBER(C17),INDEX('2.Distances'!C2:C401,C16*20+C17+ 1) +F16," ")," ")</f>
        <v xml:space="preserve"> </v>
      </c>
      <c r="G17" s="62" t="str">
        <f ca="1">IFERROR(IF(ISNUMBER(C17),'3.Vehicles'!F2 * INDEX('2.Distances'!D2:D401,C16*20+C17 + 1) +G16," ")," ")</f>
        <v xml:space="preserve"> </v>
      </c>
      <c r="H17" s="63" t="str">
        <f ca="1">IFERROR(IF(ISNUMBER(C17),'3.Vehicles'!F2 * INDEX('2.Distances'!D2:D401,C16*20+C17 + 1) +I16," ")," ")</f>
        <v xml:space="preserve"> </v>
      </c>
      <c r="I17" s="63" t="str">
        <f ca="1">IFERROR(IF(AND(C5&lt;&gt;C17,ISNUMBER(H17)),INDEX('1.Locations'!I2:I21,C17 + 1) + MAX(H17,INDEX('1.Locations'!F2:F21,C17 + 1))," ")," ")</f>
        <v xml:space="preserve"> </v>
      </c>
      <c r="J17" s="62" t="str">
        <f ca="1">IFERROR(IF(AND(B17 = B5, B18 = ""), H17 - I5, I17 - I5)," ")</f>
        <v xml:space="preserve"> </v>
      </c>
      <c r="K17" s="60" t="str">
        <f ca="1">IFERROR(IF(ISNUMBER(C17),INDEX('1.Locations'!L2:L21,C17 + 1) + K16," ")," ")</f>
        <v xml:space="preserve"> </v>
      </c>
      <c r="L17" s="61" t="str">
        <f ca="1">IFERROR(IF(ISNUMBER(C17),INDEX('1.Locations'!J2:J21,C17 + 1)," ")," ")</f>
        <v xml:space="preserve"> </v>
      </c>
      <c r="M17" s="61" t="str">
        <f ca="1">IFERROR(IF(ISNUMBER(C17),INDEX('1.Locations'!K2:K21,C17 + 1)," ")," ")</f>
        <v xml:space="preserve"> </v>
      </c>
      <c r="N17" s="61" t="str">
        <f ca="1">IFERROR(IF(ISNUMBER(C17),IF(B17 = B5, 0, L17 + N16)," ")," ")</f>
        <v xml:space="preserve"> </v>
      </c>
      <c r="O17" s="61" t="str">
        <f ca="1">IFERROR(IF(ISNUMBER(C17),IF(B18 = B5, 0, IF(B18 = "", 0, O18 + M18))," ")," ")</f>
        <v xml:space="preserve"> </v>
      </c>
      <c r="P17" s="60" t="str">
        <f ca="1">IFERROR(IF(ISNUMBER(C17),N17 + O17," ")," ")</f>
        <v xml:space="preserve"> </v>
      </c>
      <c r="R17" s="16">
        <v>12</v>
      </c>
      <c r="S17" s="65"/>
      <c r="T17" s="60" t="str">
        <f ca="1">IFERROR(MATCH(INDIRECT("S17"),'1.Locations'!B2:B21, 0) - 1," ")</f>
        <v xml:space="preserve"> </v>
      </c>
      <c r="U17" s="60" t="e">
        <f ca="1">IFERROR(IF(ISNUMBER(T17),INDEX('1.Locations'!D2:D21,T17 + 1),NA()),NA())</f>
        <v>#N/A</v>
      </c>
      <c r="V17" s="60" t="e">
        <f ca="1">IFERROR(IF(ISNUMBER(T17),INDEX('1.Locations'!E2:E21,T17 + 1),NA()),NA())</f>
        <v>#N/A</v>
      </c>
      <c r="W17" s="61" t="str">
        <f ca="1">IFERROR(IF(ISNUMBER(T17),INDEX('2.Distances'!C2:C401,T16*20+T17+ 1) +W16," ")," ")</f>
        <v xml:space="preserve"> </v>
      </c>
      <c r="X17" s="62" t="str">
        <f ca="1">IFERROR(IF(ISNUMBER(T17),'3.Vehicles'!F2 * INDEX('2.Distances'!D2:D401,T16*20+T17 + 1) +X16," ")," ")</f>
        <v xml:space="preserve"> </v>
      </c>
      <c r="Y17" s="63" t="str">
        <f ca="1">IFERROR(IF(ISNUMBER(T17),'3.Vehicles'!F2 * INDEX('2.Distances'!D2:D401,T16*20+T17 + 1) +Z16," ")," ")</f>
        <v xml:space="preserve"> </v>
      </c>
      <c r="Z17" s="63" t="str">
        <f ca="1">IFERROR(IF(AND(T5&lt;&gt;T17,ISNUMBER(Y17)),INDEX('1.Locations'!I2:I21,T17 + 1) + MAX(Y17,INDEX('1.Locations'!F2:F21,T17 + 1))," ")," ")</f>
        <v xml:space="preserve"> </v>
      </c>
      <c r="AA17" s="62" t="str">
        <f ca="1">IFERROR(IF(AND(S17 = S5, S18 = ""), Y17 - Z5, Z17 - Z5)," ")</f>
        <v xml:space="preserve"> </v>
      </c>
      <c r="AB17" s="60" t="str">
        <f ca="1">IFERROR(IF(ISNUMBER(T17),INDEX('1.Locations'!L2:L21,T17 + 1) + AB16," ")," ")</f>
        <v xml:space="preserve"> </v>
      </c>
      <c r="AC17" s="61" t="str">
        <f ca="1">IFERROR(IF(ISNUMBER(T17),INDEX('1.Locations'!J2:J21,T17 + 1)," ")," ")</f>
        <v xml:space="preserve"> </v>
      </c>
      <c r="AD17" s="61" t="str">
        <f ca="1">IFERROR(IF(ISNUMBER(T17),INDEX('1.Locations'!K2:K21,T17 + 1)," ")," ")</f>
        <v xml:space="preserve"> </v>
      </c>
      <c r="AE17" s="61" t="str">
        <f ca="1">IFERROR(IF(ISNUMBER(T17),IF(S17 = S5, 0, AC17 + AE16)," ")," ")</f>
        <v xml:space="preserve"> </v>
      </c>
      <c r="AF17" s="61" t="str">
        <f ca="1">IFERROR(IF(ISNUMBER(T17),IF(S18 = S5, 0, IF(S18 = "", 0, AF18 + AD18))," ")," ")</f>
        <v xml:space="preserve"> </v>
      </c>
      <c r="AG17" s="60" t="str">
        <f ca="1">IFERROR(IF(ISNUMBER(T17),AE17 + AF17," ")," ")</f>
        <v xml:space="preserve"> </v>
      </c>
      <c r="AI17" s="16">
        <v>12</v>
      </c>
      <c r="AJ17" s="65"/>
      <c r="AK17" s="60" t="str">
        <f ca="1">IFERROR(MATCH(INDIRECT("AJ17"),'1.Locations'!B2:B21, 0) - 1," ")</f>
        <v xml:space="preserve"> </v>
      </c>
      <c r="AL17" s="60" t="e">
        <f ca="1">IFERROR(IF(ISNUMBER(AK17),INDEX('1.Locations'!D2:D21,AK17 + 1),NA()),NA())</f>
        <v>#N/A</v>
      </c>
      <c r="AM17" s="60" t="e">
        <f ca="1">IFERROR(IF(ISNUMBER(AK17),INDEX('1.Locations'!E2:E21,AK17 + 1),NA()),NA())</f>
        <v>#N/A</v>
      </c>
      <c r="AN17" s="61" t="str">
        <f ca="1">IFERROR(IF(ISNUMBER(AK17),INDEX('2.Distances'!C2:C401,AK16*20+AK17+ 1) +AN16," ")," ")</f>
        <v xml:space="preserve"> </v>
      </c>
      <c r="AO17" s="62" t="str">
        <f ca="1">IFERROR(IF(ISNUMBER(AK17),'3.Vehicles'!F2 * INDEX('2.Distances'!D2:D401,AK16*20+AK17 + 1) +AO16," ")," ")</f>
        <v xml:space="preserve"> </v>
      </c>
      <c r="AP17" s="63" t="str">
        <f ca="1">IFERROR(IF(ISNUMBER(AK17),'3.Vehicles'!F2 * INDEX('2.Distances'!D2:D401,AK16*20+AK17 + 1) +AQ16," ")," ")</f>
        <v xml:space="preserve"> </v>
      </c>
      <c r="AQ17" s="63" t="str">
        <f ca="1">IFERROR(IF(AND(AK5&lt;&gt;AK17,ISNUMBER(AP17)),INDEX('1.Locations'!I2:I21,AK17 + 1) + MAX(AP17,INDEX('1.Locations'!F2:F21,AK17 + 1))," ")," ")</f>
        <v xml:space="preserve"> </v>
      </c>
      <c r="AR17" s="62" t="str">
        <f ca="1">IFERROR(IF(AND(AJ17 = AJ5, AJ18 = ""), AP17 - AQ5, AQ17 - AQ5)," ")</f>
        <v xml:space="preserve"> </v>
      </c>
      <c r="AS17" s="60" t="str">
        <f ca="1">IFERROR(IF(ISNUMBER(AK17),INDEX('1.Locations'!L2:L21,AK17 + 1) + AS16," ")," ")</f>
        <v xml:space="preserve"> </v>
      </c>
      <c r="AT17" s="61" t="str">
        <f ca="1">IFERROR(IF(ISNUMBER(AK17),INDEX('1.Locations'!J2:J21,AK17 + 1)," ")," ")</f>
        <v xml:space="preserve"> </v>
      </c>
      <c r="AU17" s="61" t="str">
        <f ca="1">IFERROR(IF(ISNUMBER(AK17),INDEX('1.Locations'!K2:K21,AK17 + 1)," ")," ")</f>
        <v xml:space="preserve"> </v>
      </c>
      <c r="AV17" s="61" t="str">
        <f ca="1">IFERROR(IF(ISNUMBER(AK17),IF(AJ17 = AJ5, 0, AT17 + AV16)," ")," ")</f>
        <v xml:space="preserve"> </v>
      </c>
      <c r="AW17" s="61" t="str">
        <f ca="1">IFERROR(IF(ISNUMBER(AK17),IF(AJ18 = AJ5, 0, IF(AJ18 = "", 0, AW18 + AU18))," ")," ")</f>
        <v xml:space="preserve"> </v>
      </c>
      <c r="AX17" s="60" t="str">
        <f ca="1">IFERROR(IF(ISNUMBER(AK17),AV17 + AW17," ")," ")</f>
        <v xml:space="preserve"> </v>
      </c>
      <c r="AZ17" s="16">
        <v>12</v>
      </c>
      <c r="BA17" s="65"/>
      <c r="BB17" s="60" t="str">
        <f ca="1">IFERROR(MATCH(INDIRECT("BA17"),'1.Locations'!B2:B21, 0) - 1," ")</f>
        <v xml:space="preserve"> </v>
      </c>
      <c r="BC17" s="60" t="e">
        <f ca="1">IFERROR(IF(ISNUMBER(BB17),INDEX('1.Locations'!D2:D21,BB17 + 1),NA()),NA())</f>
        <v>#N/A</v>
      </c>
      <c r="BD17" s="60" t="e">
        <f ca="1">IFERROR(IF(ISNUMBER(BB17),INDEX('1.Locations'!E2:E21,BB17 + 1),NA()),NA())</f>
        <v>#N/A</v>
      </c>
      <c r="BE17" s="61" t="str">
        <f ca="1">IFERROR(IF(ISNUMBER(BB17),INDEX('2.Distances'!C2:C401,BB16*20+BB17+ 1) +BE16," ")," ")</f>
        <v xml:space="preserve"> </v>
      </c>
      <c r="BF17" s="62" t="str">
        <f ca="1">IFERROR(IF(ISNUMBER(BB17),'3.Vehicles'!F2 * INDEX('2.Distances'!D2:D401,BB16*20+BB17 + 1) +BF16," ")," ")</f>
        <v xml:space="preserve"> </v>
      </c>
      <c r="BG17" s="63" t="str">
        <f ca="1">IFERROR(IF(ISNUMBER(BB17),'3.Vehicles'!F2 * INDEX('2.Distances'!D2:D401,BB16*20+BB17 + 1) +BH16," ")," ")</f>
        <v xml:space="preserve"> </v>
      </c>
      <c r="BH17" s="63" t="str">
        <f ca="1">IFERROR(IF(AND(BB5&lt;&gt;BB17,ISNUMBER(BG17)),INDEX('1.Locations'!I2:I21,BB17 + 1) + MAX(BG17,INDEX('1.Locations'!F2:F21,BB17 + 1))," ")," ")</f>
        <v xml:space="preserve"> </v>
      </c>
      <c r="BI17" s="62" t="str">
        <f ca="1">IFERROR(IF(AND(BA17 = BA5, BA18 = ""), BG17 - BH5, BH17 - BH5)," ")</f>
        <v xml:space="preserve"> </v>
      </c>
      <c r="BJ17" s="60" t="str">
        <f ca="1">IFERROR(IF(ISNUMBER(BB17),INDEX('1.Locations'!L2:L21,BB17 + 1) + BJ16," ")," ")</f>
        <v xml:space="preserve"> </v>
      </c>
      <c r="BK17" s="61" t="str">
        <f ca="1">IFERROR(IF(ISNUMBER(BB17),INDEX('1.Locations'!J2:J21,BB17 + 1)," ")," ")</f>
        <v xml:space="preserve"> </v>
      </c>
      <c r="BL17" s="61" t="str">
        <f ca="1">IFERROR(IF(ISNUMBER(BB17),INDEX('1.Locations'!K2:K21,BB17 + 1)," ")," ")</f>
        <v xml:space="preserve"> </v>
      </c>
      <c r="BM17" s="61" t="str">
        <f ca="1">IFERROR(IF(ISNUMBER(BB17),IF(BA17 = BA5, 0, BK17 + BM16)," ")," ")</f>
        <v xml:space="preserve"> </v>
      </c>
      <c r="BN17" s="61" t="str">
        <f ca="1">IFERROR(IF(ISNUMBER(BB17),IF(BA18 = BA5, 0, IF(BA18 = "", 0, BN18 + BL18))," ")," ")</f>
        <v xml:space="preserve"> </v>
      </c>
      <c r="BO17" s="60" t="str">
        <f ca="1">IFERROR(IF(ISNUMBER(BB17),BM17 + BN17," ")," ")</f>
        <v xml:space="preserve"> </v>
      </c>
      <c r="BQ17" s="16">
        <v>12</v>
      </c>
      <c r="BR17" s="65"/>
      <c r="BS17" s="60" t="str">
        <f ca="1">IFERROR(MATCH(INDIRECT("BR17"),'1.Locations'!B2:B21, 0) - 1," ")</f>
        <v xml:space="preserve"> </v>
      </c>
      <c r="BT17" s="60" t="e">
        <f ca="1">IFERROR(IF(ISNUMBER(BS17),INDEX('1.Locations'!D2:D21,BS17 + 1),NA()),NA())</f>
        <v>#N/A</v>
      </c>
      <c r="BU17" s="60" t="e">
        <f ca="1">IFERROR(IF(ISNUMBER(BS17),INDEX('1.Locations'!E2:E21,BS17 + 1),NA()),NA())</f>
        <v>#N/A</v>
      </c>
      <c r="BV17" s="61" t="str">
        <f ca="1">IFERROR(IF(ISNUMBER(BS17),INDEX('2.Distances'!C2:C401,BS16*20+BS17+ 1) +BV16," ")," ")</f>
        <v xml:space="preserve"> </v>
      </c>
      <c r="BW17" s="62" t="str">
        <f ca="1">IFERROR(IF(ISNUMBER(BS17),'3.Vehicles'!F2 * INDEX('2.Distances'!D2:D401,BS16*20+BS17 + 1) +BW16," ")," ")</f>
        <v xml:space="preserve"> </v>
      </c>
      <c r="BX17" s="63" t="str">
        <f ca="1">IFERROR(IF(ISNUMBER(BS17),'3.Vehicles'!F2 * INDEX('2.Distances'!D2:D401,BS16*20+BS17 + 1) +BY16," ")," ")</f>
        <v xml:space="preserve"> </v>
      </c>
      <c r="BY17" s="63" t="str">
        <f ca="1">IFERROR(IF(AND(BS5&lt;&gt;BS17,ISNUMBER(BX17)),INDEX('1.Locations'!I2:I21,BS17 + 1) + MAX(BX17,INDEX('1.Locations'!F2:F21,BS17 + 1))," ")," ")</f>
        <v xml:space="preserve"> </v>
      </c>
      <c r="BZ17" s="62" t="str">
        <f ca="1">IFERROR(IF(AND(BR17 = BR5, BR18 = ""), BX17 - BY5, BY17 - BY5)," ")</f>
        <v xml:space="preserve"> </v>
      </c>
      <c r="CA17" s="60" t="str">
        <f ca="1">IFERROR(IF(ISNUMBER(BS17),INDEX('1.Locations'!L2:L21,BS17 + 1) + CA16," ")," ")</f>
        <v xml:space="preserve"> </v>
      </c>
      <c r="CB17" s="61" t="str">
        <f ca="1">IFERROR(IF(ISNUMBER(BS17),INDEX('1.Locations'!J2:J21,BS17 + 1)," ")," ")</f>
        <v xml:space="preserve"> </v>
      </c>
      <c r="CC17" s="61" t="str">
        <f ca="1">IFERROR(IF(ISNUMBER(BS17),INDEX('1.Locations'!K2:K21,BS17 + 1)," ")," ")</f>
        <v xml:space="preserve"> </v>
      </c>
      <c r="CD17" s="61" t="str">
        <f ca="1">IFERROR(IF(ISNUMBER(BS17),IF(BR17 = BR5, 0, CB17 + CD16)," ")," ")</f>
        <v xml:space="preserve"> </v>
      </c>
      <c r="CE17" s="61" t="str">
        <f ca="1">IFERROR(IF(ISNUMBER(BS17),IF(BR18 = BR5, 0, IF(BR18 = "", 0, CE18 + CC18))," ")," ")</f>
        <v xml:space="preserve"> </v>
      </c>
      <c r="CF17" s="60" t="str">
        <f ca="1">IFERROR(IF(ISNUMBER(BS17),CD17 + CE17," ")," ")</f>
        <v xml:space="preserve"> </v>
      </c>
      <c r="CH17" s="16">
        <v>12</v>
      </c>
      <c r="CI17" s="65"/>
      <c r="CJ17" s="60" t="str">
        <f ca="1">IFERROR(MATCH(INDIRECT("CI17"),'1.Locations'!B2:B21, 0) - 1," ")</f>
        <v xml:space="preserve"> </v>
      </c>
      <c r="CK17" s="60" t="e">
        <f ca="1">IFERROR(IF(ISNUMBER(CJ17),INDEX('1.Locations'!D2:D21,CJ17 + 1),NA()),NA())</f>
        <v>#N/A</v>
      </c>
      <c r="CL17" s="60" t="e">
        <f ca="1">IFERROR(IF(ISNUMBER(CJ17),INDEX('1.Locations'!E2:E21,CJ17 + 1),NA()),NA())</f>
        <v>#N/A</v>
      </c>
      <c r="CM17" s="61" t="str">
        <f ca="1">IFERROR(IF(ISNUMBER(CJ17),INDEX('2.Distances'!C2:C401,CJ16*20+CJ17+ 1) +CM16," ")," ")</f>
        <v xml:space="preserve"> </v>
      </c>
      <c r="CN17" s="62" t="str">
        <f ca="1">IFERROR(IF(ISNUMBER(CJ17),'3.Vehicles'!F2 * INDEX('2.Distances'!D2:D401,CJ16*20+CJ17 + 1) +CN16," ")," ")</f>
        <v xml:space="preserve"> </v>
      </c>
      <c r="CO17" s="63" t="str">
        <f ca="1">IFERROR(IF(ISNUMBER(CJ17),'3.Vehicles'!F2 * INDEX('2.Distances'!D2:D401,CJ16*20+CJ17 + 1) +CP16," ")," ")</f>
        <v xml:space="preserve"> </v>
      </c>
      <c r="CP17" s="63" t="str">
        <f ca="1">IFERROR(IF(AND(CJ5&lt;&gt;CJ17,ISNUMBER(CO17)),INDEX('1.Locations'!I2:I21,CJ17 + 1) + MAX(CO17,INDEX('1.Locations'!F2:F21,CJ17 + 1))," ")," ")</f>
        <v xml:space="preserve"> </v>
      </c>
      <c r="CQ17" s="62" t="str">
        <f ca="1">IFERROR(IF(AND(CI17 = CI5, CI18 = ""), CO17 - CP5, CP17 - CP5)," ")</f>
        <v xml:space="preserve"> </v>
      </c>
      <c r="CR17" s="60" t="str">
        <f ca="1">IFERROR(IF(ISNUMBER(CJ17),INDEX('1.Locations'!L2:L21,CJ17 + 1) + CR16," ")," ")</f>
        <v xml:space="preserve"> </v>
      </c>
      <c r="CS17" s="61" t="str">
        <f ca="1">IFERROR(IF(ISNUMBER(CJ17),INDEX('1.Locations'!J2:J21,CJ17 + 1)," ")," ")</f>
        <v xml:space="preserve"> </v>
      </c>
      <c r="CT17" s="61" t="str">
        <f ca="1">IFERROR(IF(ISNUMBER(CJ17),INDEX('1.Locations'!K2:K21,CJ17 + 1)," ")," ")</f>
        <v xml:space="preserve"> </v>
      </c>
      <c r="CU17" s="61" t="str">
        <f ca="1">IFERROR(IF(ISNUMBER(CJ17),IF(CI17 = CI5, 0, CS17 + CU16)," ")," ")</f>
        <v xml:space="preserve"> </v>
      </c>
      <c r="CV17" s="61" t="str">
        <f ca="1">IFERROR(IF(ISNUMBER(CJ17),IF(CI18 = CI5, 0, IF(CI18 = "", 0, CV18 + CT18))," ")," ")</f>
        <v xml:space="preserve"> </v>
      </c>
      <c r="CW17" s="60" t="str">
        <f ca="1">IFERROR(IF(ISNUMBER(CJ17),CU17 + CV17," ")," ")</f>
        <v xml:space="preserve"> </v>
      </c>
      <c r="CY17" s="16">
        <v>12</v>
      </c>
      <c r="CZ17" s="65"/>
      <c r="DA17" s="60" t="str">
        <f ca="1">IFERROR(MATCH(INDIRECT("CZ17"),'1.Locations'!B2:B21, 0) - 1," ")</f>
        <v xml:space="preserve"> </v>
      </c>
      <c r="DB17" s="60" t="e">
        <f ca="1">IFERROR(IF(ISNUMBER(DA17),INDEX('1.Locations'!D2:D21,DA17 + 1),NA()),NA())</f>
        <v>#N/A</v>
      </c>
      <c r="DC17" s="60" t="e">
        <f ca="1">IFERROR(IF(ISNUMBER(DA17),INDEX('1.Locations'!E2:E21,DA17 + 1),NA()),NA())</f>
        <v>#N/A</v>
      </c>
      <c r="DD17" s="61" t="str">
        <f ca="1">IFERROR(IF(ISNUMBER(DA17),INDEX('2.Distances'!C2:C401,DA16*20+DA17+ 1) +DD16," ")," ")</f>
        <v xml:space="preserve"> </v>
      </c>
      <c r="DE17" s="62" t="str">
        <f ca="1">IFERROR(IF(ISNUMBER(DA17),'3.Vehicles'!F2 * INDEX('2.Distances'!D2:D401,DA16*20+DA17 + 1) +DE16," ")," ")</f>
        <v xml:space="preserve"> </v>
      </c>
      <c r="DF17" s="63" t="str">
        <f ca="1">IFERROR(IF(ISNUMBER(DA17),'3.Vehicles'!F2 * INDEX('2.Distances'!D2:D401,DA16*20+DA17 + 1) +DG16," ")," ")</f>
        <v xml:space="preserve"> </v>
      </c>
      <c r="DG17" s="63" t="str">
        <f ca="1">IFERROR(IF(AND(DA5&lt;&gt;DA17,ISNUMBER(DF17)),INDEX('1.Locations'!I2:I21,DA17 + 1) + MAX(DF17,INDEX('1.Locations'!F2:F21,DA17 + 1))," ")," ")</f>
        <v xml:space="preserve"> </v>
      </c>
      <c r="DH17" s="62" t="str">
        <f ca="1">IFERROR(IF(AND(CZ17 = CZ5, CZ18 = ""), DF17 - DG5, DG17 - DG5)," ")</f>
        <v xml:space="preserve"> </v>
      </c>
      <c r="DI17" s="60" t="str">
        <f ca="1">IFERROR(IF(ISNUMBER(DA17),INDEX('1.Locations'!L2:L21,DA17 + 1) + DI16," ")," ")</f>
        <v xml:space="preserve"> </v>
      </c>
      <c r="DJ17" s="61" t="str">
        <f ca="1">IFERROR(IF(ISNUMBER(DA17),INDEX('1.Locations'!J2:J21,DA17 + 1)," ")," ")</f>
        <v xml:space="preserve"> </v>
      </c>
      <c r="DK17" s="61" t="str">
        <f ca="1">IFERROR(IF(ISNUMBER(DA17),INDEX('1.Locations'!K2:K21,DA17 + 1)," ")," ")</f>
        <v xml:space="preserve"> </v>
      </c>
      <c r="DL17" s="61" t="str">
        <f ca="1">IFERROR(IF(ISNUMBER(DA17),IF(CZ17 = CZ5, 0, DJ17 + DL16)," ")," ")</f>
        <v xml:space="preserve"> </v>
      </c>
      <c r="DM17" s="61" t="str">
        <f ca="1">IFERROR(IF(ISNUMBER(DA17),IF(CZ18 = CZ5, 0, IF(CZ18 = "", 0, DM18 + DK18))," ")," ")</f>
        <v xml:space="preserve"> </v>
      </c>
      <c r="DN17" s="60" t="str">
        <f ca="1">IFERROR(IF(ISNUMBER(DA17),DL17 + DM17," ")," ")</f>
        <v xml:space="preserve"> </v>
      </c>
      <c r="DP17" s="16">
        <v>12</v>
      </c>
      <c r="DQ17" s="65"/>
      <c r="DR17" s="60" t="str">
        <f ca="1">IFERROR(MATCH(INDIRECT("DQ17"),'1.Locations'!B2:B21, 0) - 1," ")</f>
        <v xml:space="preserve"> </v>
      </c>
      <c r="DS17" s="60" t="e">
        <f ca="1">IFERROR(IF(ISNUMBER(DR17),INDEX('1.Locations'!D2:D21,DR17 + 1),NA()),NA())</f>
        <v>#N/A</v>
      </c>
      <c r="DT17" s="60" t="e">
        <f ca="1">IFERROR(IF(ISNUMBER(DR17),INDEX('1.Locations'!E2:E21,DR17 + 1),NA()),NA())</f>
        <v>#N/A</v>
      </c>
      <c r="DU17" s="61" t="str">
        <f ca="1">IFERROR(IF(ISNUMBER(DR17),INDEX('2.Distances'!C2:C401,DR16*20+DR17+ 1) +DU16," ")," ")</f>
        <v xml:space="preserve"> </v>
      </c>
      <c r="DV17" s="62" t="str">
        <f ca="1">IFERROR(IF(ISNUMBER(DR17),'3.Vehicles'!F2 * INDEX('2.Distances'!D2:D401,DR16*20+DR17 + 1) +DV16," ")," ")</f>
        <v xml:space="preserve"> </v>
      </c>
      <c r="DW17" s="63" t="str">
        <f ca="1">IFERROR(IF(ISNUMBER(DR17),'3.Vehicles'!F2 * INDEX('2.Distances'!D2:D401,DR16*20+DR17 + 1) +DX16," ")," ")</f>
        <v xml:space="preserve"> </v>
      </c>
      <c r="DX17" s="63" t="str">
        <f ca="1">IFERROR(IF(AND(DR5&lt;&gt;DR17,ISNUMBER(DW17)),INDEX('1.Locations'!I2:I21,DR17 + 1) + MAX(DW17,INDEX('1.Locations'!F2:F21,DR17 + 1))," ")," ")</f>
        <v xml:space="preserve"> </v>
      </c>
      <c r="DY17" s="62" t="str">
        <f ca="1">IFERROR(IF(AND(DQ17 = DQ5, DQ18 = ""), DW17 - DX5, DX17 - DX5)," ")</f>
        <v xml:space="preserve"> </v>
      </c>
      <c r="DZ17" s="60" t="str">
        <f ca="1">IFERROR(IF(ISNUMBER(DR17),INDEX('1.Locations'!L2:L21,DR17 + 1) + DZ16," ")," ")</f>
        <v xml:space="preserve"> </v>
      </c>
      <c r="EA17" s="61" t="str">
        <f ca="1">IFERROR(IF(ISNUMBER(DR17),INDEX('1.Locations'!J2:J21,DR17 + 1)," ")," ")</f>
        <v xml:space="preserve"> </v>
      </c>
      <c r="EB17" s="61" t="str">
        <f ca="1">IFERROR(IF(ISNUMBER(DR17),INDEX('1.Locations'!K2:K21,DR17 + 1)," ")," ")</f>
        <v xml:space="preserve"> </v>
      </c>
      <c r="EC17" s="61" t="str">
        <f ca="1">IFERROR(IF(ISNUMBER(DR17),IF(DQ17 = DQ5, 0, EA17 + EC16)," ")," ")</f>
        <v xml:space="preserve"> </v>
      </c>
      <c r="ED17" s="61" t="str">
        <f ca="1">IFERROR(IF(ISNUMBER(DR17),IF(DQ18 = DQ5, 0, IF(DQ18 = "", 0, ED18 + EB18))," ")," ")</f>
        <v xml:space="preserve"> </v>
      </c>
      <c r="EE17" s="60" t="str">
        <f ca="1">IFERROR(IF(ISNUMBER(DR17),EC17 + ED17," ")," ")</f>
        <v xml:space="preserve"> </v>
      </c>
      <c r="EG17" s="16">
        <v>12</v>
      </c>
      <c r="EH17" s="65"/>
      <c r="EI17" s="60" t="str">
        <f ca="1">IFERROR(MATCH(INDIRECT("EH17"),'1.Locations'!B2:B21, 0) - 1," ")</f>
        <v xml:space="preserve"> </v>
      </c>
      <c r="EJ17" s="60" t="e">
        <f ca="1">IFERROR(IF(ISNUMBER(EI17),INDEX('1.Locations'!D2:D21,EI17 + 1),NA()),NA())</f>
        <v>#N/A</v>
      </c>
      <c r="EK17" s="60" t="e">
        <f ca="1">IFERROR(IF(ISNUMBER(EI17),INDEX('1.Locations'!E2:E21,EI17 + 1),NA()),NA())</f>
        <v>#N/A</v>
      </c>
      <c r="EL17" s="61" t="str">
        <f ca="1">IFERROR(IF(ISNUMBER(EI17),INDEX('2.Distances'!C2:C401,EI16*20+EI17+ 1) +EL16," ")," ")</f>
        <v xml:space="preserve"> </v>
      </c>
      <c r="EM17" s="62" t="str">
        <f ca="1">IFERROR(IF(ISNUMBER(EI17),'3.Vehicles'!F2 * INDEX('2.Distances'!D2:D401,EI16*20+EI17 + 1) +EM16," ")," ")</f>
        <v xml:space="preserve"> </v>
      </c>
      <c r="EN17" s="63" t="str">
        <f ca="1">IFERROR(IF(ISNUMBER(EI17),'3.Vehicles'!F2 * INDEX('2.Distances'!D2:D401,EI16*20+EI17 + 1) +EO16," ")," ")</f>
        <v xml:space="preserve"> </v>
      </c>
      <c r="EO17" s="63" t="str">
        <f ca="1">IFERROR(IF(AND(EI5&lt;&gt;EI17,ISNUMBER(EN17)),INDEX('1.Locations'!I2:I21,EI17 + 1) + MAX(EN17,INDEX('1.Locations'!F2:F21,EI17 + 1))," ")," ")</f>
        <v xml:space="preserve"> </v>
      </c>
      <c r="EP17" s="62" t="str">
        <f ca="1">IFERROR(IF(AND(EH17 = EH5, EH18 = ""), EN17 - EO5, EO17 - EO5)," ")</f>
        <v xml:space="preserve"> </v>
      </c>
      <c r="EQ17" s="60" t="str">
        <f ca="1">IFERROR(IF(ISNUMBER(EI17),INDEX('1.Locations'!L2:L21,EI17 + 1) + EQ16," ")," ")</f>
        <v xml:space="preserve"> </v>
      </c>
      <c r="ER17" s="61" t="str">
        <f ca="1">IFERROR(IF(ISNUMBER(EI17),INDEX('1.Locations'!J2:J21,EI17 + 1)," ")," ")</f>
        <v xml:space="preserve"> </v>
      </c>
      <c r="ES17" s="61" t="str">
        <f ca="1">IFERROR(IF(ISNUMBER(EI17),INDEX('1.Locations'!K2:K21,EI17 + 1)," ")," ")</f>
        <v xml:space="preserve"> </v>
      </c>
      <c r="ET17" s="61" t="str">
        <f ca="1">IFERROR(IF(ISNUMBER(EI17),IF(EH17 = EH5, 0, ER17 + ET16)," ")," ")</f>
        <v xml:space="preserve"> </v>
      </c>
      <c r="EU17" s="61" t="str">
        <f ca="1">IFERROR(IF(ISNUMBER(EI17),IF(EH18 = EH5, 0, IF(EH18 = "", 0, EU18 + ES18))," ")," ")</f>
        <v xml:space="preserve"> </v>
      </c>
      <c r="EV17" s="60" t="str">
        <f ca="1">IFERROR(IF(ISNUMBER(EI17),ET17 + EU17," ")," ")</f>
        <v xml:space="preserve"> </v>
      </c>
      <c r="EX17" s="16">
        <v>12</v>
      </c>
      <c r="EY17" s="65"/>
      <c r="EZ17" s="60" t="str">
        <f ca="1">IFERROR(MATCH(INDIRECT("EY17"),'1.Locations'!B2:B21, 0) - 1," ")</f>
        <v xml:space="preserve"> </v>
      </c>
      <c r="FA17" s="60" t="e">
        <f ca="1">IFERROR(IF(ISNUMBER(EZ17),INDEX('1.Locations'!D2:D21,EZ17 + 1),NA()),NA())</f>
        <v>#N/A</v>
      </c>
      <c r="FB17" s="60" t="e">
        <f ca="1">IFERROR(IF(ISNUMBER(EZ17),INDEX('1.Locations'!E2:E21,EZ17 + 1),NA()),NA())</f>
        <v>#N/A</v>
      </c>
      <c r="FC17" s="61" t="str">
        <f ca="1">IFERROR(IF(ISNUMBER(EZ17),INDEX('2.Distances'!C2:C401,EZ16*20+EZ17+ 1) +FC16," ")," ")</f>
        <v xml:space="preserve"> </v>
      </c>
      <c r="FD17" s="62" t="str">
        <f ca="1">IFERROR(IF(ISNUMBER(EZ17),'3.Vehicles'!F2 * INDEX('2.Distances'!D2:D401,EZ16*20+EZ17 + 1) +FD16," ")," ")</f>
        <v xml:space="preserve"> </v>
      </c>
      <c r="FE17" s="63" t="str">
        <f ca="1">IFERROR(IF(ISNUMBER(EZ17),'3.Vehicles'!F2 * INDEX('2.Distances'!D2:D401,EZ16*20+EZ17 + 1) +FF16," ")," ")</f>
        <v xml:space="preserve"> </v>
      </c>
      <c r="FF17" s="63" t="str">
        <f ca="1">IFERROR(IF(AND(EZ5&lt;&gt;EZ17,ISNUMBER(FE17)),INDEX('1.Locations'!I2:I21,EZ17 + 1) + MAX(FE17,INDEX('1.Locations'!F2:F21,EZ17 + 1))," ")," ")</f>
        <v xml:space="preserve"> </v>
      </c>
      <c r="FG17" s="62" t="str">
        <f ca="1">IFERROR(IF(AND(EY17 = EY5, EY18 = ""), FE17 - FF5, FF17 - FF5)," ")</f>
        <v xml:space="preserve"> </v>
      </c>
      <c r="FH17" s="60" t="str">
        <f ca="1">IFERROR(IF(ISNUMBER(EZ17),INDEX('1.Locations'!L2:L21,EZ17 + 1) + FH16," ")," ")</f>
        <v xml:space="preserve"> </v>
      </c>
      <c r="FI17" s="61" t="str">
        <f ca="1">IFERROR(IF(ISNUMBER(EZ17),INDEX('1.Locations'!J2:J21,EZ17 + 1)," ")," ")</f>
        <v xml:space="preserve"> </v>
      </c>
      <c r="FJ17" s="61" t="str">
        <f ca="1">IFERROR(IF(ISNUMBER(EZ17),INDEX('1.Locations'!K2:K21,EZ17 + 1)," ")," ")</f>
        <v xml:space="preserve"> </v>
      </c>
      <c r="FK17" s="61" t="str">
        <f ca="1">IFERROR(IF(ISNUMBER(EZ17),IF(EY17 = EY5, 0, FI17 + FK16)," ")," ")</f>
        <v xml:space="preserve"> </v>
      </c>
      <c r="FL17" s="61" t="str">
        <f ca="1">IFERROR(IF(ISNUMBER(EZ17),IF(EY18 = EY5, 0, IF(EY18 = "", 0, FL18 + FJ18))," ")," ")</f>
        <v xml:space="preserve"> </v>
      </c>
      <c r="FM17" s="60" t="str">
        <f ca="1">IFERROR(IF(ISNUMBER(EZ17),FK17 + FL17," ")," ")</f>
        <v xml:space="preserve"> </v>
      </c>
    </row>
    <row r="18" spans="1:169" x14ac:dyDescent="0.3">
      <c r="A18" s="16">
        <v>13</v>
      </c>
      <c r="B18" s="59"/>
      <c r="C18" s="60" t="str">
        <f ca="1">IFERROR(MATCH(INDIRECT("B18"),'1.Locations'!B2:B21, 0) - 1," ")</f>
        <v xml:space="preserve"> </v>
      </c>
      <c r="D18" s="60" t="e">
        <f ca="1">IFERROR(IF(ISNUMBER(C18),INDEX('1.Locations'!D2:D21,C18 + 1),NA()),NA())</f>
        <v>#N/A</v>
      </c>
      <c r="E18" s="60" t="e">
        <f ca="1">IFERROR(IF(ISNUMBER(C18),INDEX('1.Locations'!E2:E21,C18 + 1),NA()),NA())</f>
        <v>#N/A</v>
      </c>
      <c r="F18" s="61" t="str">
        <f ca="1">IFERROR(IF(ISNUMBER(C18),INDEX('2.Distances'!C2:C401,C17*20+C18+ 1) +F17," ")," ")</f>
        <v xml:space="preserve"> </v>
      </c>
      <c r="G18" s="62" t="str">
        <f ca="1">IFERROR(IF(ISNUMBER(C18),'3.Vehicles'!F2 * INDEX('2.Distances'!D2:D401,C17*20+C18 + 1) +G17," ")," ")</f>
        <v xml:space="preserve"> </v>
      </c>
      <c r="H18" s="63" t="str">
        <f ca="1">IFERROR(IF(ISNUMBER(C18),'3.Vehicles'!F2 * INDEX('2.Distances'!D2:D401,C17*20+C18 + 1) +I17," ")," ")</f>
        <v xml:space="preserve"> </v>
      </c>
      <c r="I18" s="63" t="str">
        <f ca="1">IFERROR(IF(AND(C5&lt;&gt;C18,ISNUMBER(H18)),INDEX('1.Locations'!I2:I21,C18 + 1) + MAX(H18,INDEX('1.Locations'!F2:F21,C18 + 1))," ")," ")</f>
        <v xml:space="preserve"> </v>
      </c>
      <c r="J18" s="62" t="str">
        <f ca="1">IFERROR(IF(AND(B18 = B5, B19 = ""), H18 - I5, I18 - I5)," ")</f>
        <v xml:space="preserve"> </v>
      </c>
      <c r="K18" s="60" t="str">
        <f ca="1">IFERROR(IF(ISNUMBER(C18),INDEX('1.Locations'!L2:L21,C18 + 1) + K17," ")," ")</f>
        <v xml:space="preserve"> </v>
      </c>
      <c r="L18" s="61" t="str">
        <f ca="1">IFERROR(IF(ISNUMBER(C18),INDEX('1.Locations'!J2:J21,C18 + 1)," ")," ")</f>
        <v xml:space="preserve"> </v>
      </c>
      <c r="M18" s="61" t="str">
        <f ca="1">IFERROR(IF(ISNUMBER(C18),INDEX('1.Locations'!K2:K21,C18 + 1)," ")," ")</f>
        <v xml:space="preserve"> </v>
      </c>
      <c r="N18" s="61" t="str">
        <f ca="1">IFERROR(IF(ISNUMBER(C18),IF(B18 = B5, 0, L18 + N17)," ")," ")</f>
        <v xml:space="preserve"> </v>
      </c>
      <c r="O18" s="61" t="str">
        <f ca="1">IFERROR(IF(ISNUMBER(C18),IF(B19 = B5, 0, IF(B19 = "", 0, O19 + M19))," ")," ")</f>
        <v xml:space="preserve"> </v>
      </c>
      <c r="P18" s="60" t="str">
        <f ca="1">IFERROR(IF(ISNUMBER(C18),N18 + O18," ")," ")</f>
        <v xml:space="preserve"> </v>
      </c>
      <c r="R18" s="16">
        <v>13</v>
      </c>
      <c r="S18" s="59"/>
      <c r="T18" s="60" t="str">
        <f ca="1">IFERROR(MATCH(INDIRECT("S18"),'1.Locations'!B2:B21, 0) - 1," ")</f>
        <v xml:space="preserve"> </v>
      </c>
      <c r="U18" s="60" t="e">
        <f ca="1">IFERROR(IF(ISNUMBER(T18),INDEX('1.Locations'!D2:D21,T18 + 1),NA()),NA())</f>
        <v>#N/A</v>
      </c>
      <c r="V18" s="60" t="e">
        <f ca="1">IFERROR(IF(ISNUMBER(T18),INDEX('1.Locations'!E2:E21,T18 + 1),NA()),NA())</f>
        <v>#N/A</v>
      </c>
      <c r="W18" s="61" t="str">
        <f ca="1">IFERROR(IF(ISNUMBER(T18),INDEX('2.Distances'!C2:C401,T17*20+T18+ 1) +W17," ")," ")</f>
        <v xml:space="preserve"> </v>
      </c>
      <c r="X18" s="62" t="str">
        <f ca="1">IFERROR(IF(ISNUMBER(T18),'3.Vehicles'!F2 * INDEX('2.Distances'!D2:D401,T17*20+T18 + 1) +X17," ")," ")</f>
        <v xml:space="preserve"> </v>
      </c>
      <c r="Y18" s="63" t="str">
        <f ca="1">IFERROR(IF(ISNUMBER(T18),'3.Vehicles'!F2 * INDEX('2.Distances'!D2:D401,T17*20+T18 + 1) +Z17," ")," ")</f>
        <v xml:space="preserve"> </v>
      </c>
      <c r="Z18" s="63" t="str">
        <f ca="1">IFERROR(IF(AND(T5&lt;&gt;T18,ISNUMBER(Y18)),INDEX('1.Locations'!I2:I21,T18 + 1) + MAX(Y18,INDEX('1.Locations'!F2:F21,T18 + 1))," ")," ")</f>
        <v xml:space="preserve"> </v>
      </c>
      <c r="AA18" s="62" t="str">
        <f ca="1">IFERROR(IF(AND(S18 = S5, S19 = ""), Y18 - Z5, Z18 - Z5)," ")</f>
        <v xml:space="preserve"> </v>
      </c>
      <c r="AB18" s="60" t="str">
        <f ca="1">IFERROR(IF(ISNUMBER(T18),INDEX('1.Locations'!L2:L21,T18 + 1) + AB17," ")," ")</f>
        <v xml:space="preserve"> </v>
      </c>
      <c r="AC18" s="61" t="str">
        <f ca="1">IFERROR(IF(ISNUMBER(T18),INDEX('1.Locations'!J2:J21,T18 + 1)," ")," ")</f>
        <v xml:space="preserve"> </v>
      </c>
      <c r="AD18" s="61" t="str">
        <f ca="1">IFERROR(IF(ISNUMBER(T18),INDEX('1.Locations'!K2:K21,T18 + 1)," ")," ")</f>
        <v xml:space="preserve"> </v>
      </c>
      <c r="AE18" s="61" t="str">
        <f ca="1">IFERROR(IF(ISNUMBER(T18),IF(S18 = S5, 0, AC18 + AE17)," ")," ")</f>
        <v xml:space="preserve"> </v>
      </c>
      <c r="AF18" s="61" t="str">
        <f ca="1">IFERROR(IF(ISNUMBER(T18),IF(S19 = S5, 0, IF(S19 = "", 0, AF19 + AD19))," ")," ")</f>
        <v xml:space="preserve"> </v>
      </c>
      <c r="AG18" s="60" t="str">
        <f ca="1">IFERROR(IF(ISNUMBER(T18),AE18 + AF18," ")," ")</f>
        <v xml:space="preserve"> </v>
      </c>
      <c r="AI18" s="16">
        <v>13</v>
      </c>
      <c r="AJ18" s="59"/>
      <c r="AK18" s="60" t="str">
        <f ca="1">IFERROR(MATCH(INDIRECT("AJ18"),'1.Locations'!B2:B21, 0) - 1," ")</f>
        <v xml:space="preserve"> </v>
      </c>
      <c r="AL18" s="60" t="e">
        <f ca="1">IFERROR(IF(ISNUMBER(AK18),INDEX('1.Locations'!D2:D21,AK18 + 1),NA()),NA())</f>
        <v>#N/A</v>
      </c>
      <c r="AM18" s="60" t="e">
        <f ca="1">IFERROR(IF(ISNUMBER(AK18),INDEX('1.Locations'!E2:E21,AK18 + 1),NA()),NA())</f>
        <v>#N/A</v>
      </c>
      <c r="AN18" s="61" t="str">
        <f ca="1">IFERROR(IF(ISNUMBER(AK18),INDEX('2.Distances'!C2:C401,AK17*20+AK18+ 1) +AN17," ")," ")</f>
        <v xml:space="preserve"> </v>
      </c>
      <c r="AO18" s="62" t="str">
        <f ca="1">IFERROR(IF(ISNUMBER(AK18),'3.Vehicles'!F2 * INDEX('2.Distances'!D2:D401,AK17*20+AK18 + 1) +AO17," ")," ")</f>
        <v xml:space="preserve"> </v>
      </c>
      <c r="AP18" s="63" t="str">
        <f ca="1">IFERROR(IF(ISNUMBER(AK18),'3.Vehicles'!F2 * INDEX('2.Distances'!D2:D401,AK17*20+AK18 + 1) +AQ17," ")," ")</f>
        <v xml:space="preserve"> </v>
      </c>
      <c r="AQ18" s="63" t="str">
        <f ca="1">IFERROR(IF(AND(AK5&lt;&gt;AK18,ISNUMBER(AP18)),INDEX('1.Locations'!I2:I21,AK18 + 1) + MAX(AP18,INDEX('1.Locations'!F2:F21,AK18 + 1))," ")," ")</f>
        <v xml:space="preserve"> </v>
      </c>
      <c r="AR18" s="62" t="str">
        <f ca="1">IFERROR(IF(AND(AJ18 = AJ5, AJ19 = ""), AP18 - AQ5, AQ18 - AQ5)," ")</f>
        <v xml:space="preserve"> </v>
      </c>
      <c r="AS18" s="60" t="str">
        <f ca="1">IFERROR(IF(ISNUMBER(AK18),INDEX('1.Locations'!L2:L21,AK18 + 1) + AS17," ")," ")</f>
        <v xml:space="preserve"> </v>
      </c>
      <c r="AT18" s="61" t="str">
        <f ca="1">IFERROR(IF(ISNUMBER(AK18),INDEX('1.Locations'!J2:J21,AK18 + 1)," ")," ")</f>
        <v xml:space="preserve"> </v>
      </c>
      <c r="AU18" s="61" t="str">
        <f ca="1">IFERROR(IF(ISNUMBER(AK18),INDEX('1.Locations'!K2:K21,AK18 + 1)," ")," ")</f>
        <v xml:space="preserve"> </v>
      </c>
      <c r="AV18" s="61" t="str">
        <f ca="1">IFERROR(IF(ISNUMBER(AK18),IF(AJ18 = AJ5, 0, AT18 + AV17)," ")," ")</f>
        <v xml:space="preserve"> </v>
      </c>
      <c r="AW18" s="61" t="str">
        <f ca="1">IFERROR(IF(ISNUMBER(AK18),IF(AJ19 = AJ5, 0, IF(AJ19 = "", 0, AW19 + AU19))," ")," ")</f>
        <v xml:space="preserve"> </v>
      </c>
      <c r="AX18" s="60" t="str">
        <f ca="1">IFERROR(IF(ISNUMBER(AK18),AV18 + AW18," ")," ")</f>
        <v xml:space="preserve"> </v>
      </c>
      <c r="AZ18" s="16">
        <v>13</v>
      </c>
      <c r="BA18" s="59"/>
      <c r="BB18" s="60" t="str">
        <f ca="1">IFERROR(MATCH(INDIRECT("BA18"),'1.Locations'!B2:B21, 0) - 1," ")</f>
        <v xml:space="preserve"> </v>
      </c>
      <c r="BC18" s="60" t="e">
        <f ca="1">IFERROR(IF(ISNUMBER(BB18),INDEX('1.Locations'!D2:D21,BB18 + 1),NA()),NA())</f>
        <v>#N/A</v>
      </c>
      <c r="BD18" s="60" t="e">
        <f ca="1">IFERROR(IF(ISNUMBER(BB18),INDEX('1.Locations'!E2:E21,BB18 + 1),NA()),NA())</f>
        <v>#N/A</v>
      </c>
      <c r="BE18" s="61" t="str">
        <f ca="1">IFERROR(IF(ISNUMBER(BB18),INDEX('2.Distances'!C2:C401,BB17*20+BB18+ 1) +BE17," ")," ")</f>
        <v xml:space="preserve"> </v>
      </c>
      <c r="BF18" s="62" t="str">
        <f ca="1">IFERROR(IF(ISNUMBER(BB18),'3.Vehicles'!F2 * INDEX('2.Distances'!D2:D401,BB17*20+BB18 + 1) +BF17," ")," ")</f>
        <v xml:space="preserve"> </v>
      </c>
      <c r="BG18" s="63" t="str">
        <f ca="1">IFERROR(IF(ISNUMBER(BB18),'3.Vehicles'!F2 * INDEX('2.Distances'!D2:D401,BB17*20+BB18 + 1) +BH17," ")," ")</f>
        <v xml:space="preserve"> </v>
      </c>
      <c r="BH18" s="63" t="str">
        <f ca="1">IFERROR(IF(AND(BB5&lt;&gt;BB18,ISNUMBER(BG18)),INDEX('1.Locations'!I2:I21,BB18 + 1) + MAX(BG18,INDEX('1.Locations'!F2:F21,BB18 + 1))," ")," ")</f>
        <v xml:space="preserve"> </v>
      </c>
      <c r="BI18" s="62" t="str">
        <f ca="1">IFERROR(IF(AND(BA18 = BA5, BA19 = ""), BG18 - BH5, BH18 - BH5)," ")</f>
        <v xml:space="preserve"> </v>
      </c>
      <c r="BJ18" s="60" t="str">
        <f ca="1">IFERROR(IF(ISNUMBER(BB18),INDEX('1.Locations'!L2:L21,BB18 + 1) + BJ17," ")," ")</f>
        <v xml:space="preserve"> </v>
      </c>
      <c r="BK18" s="61" t="str">
        <f ca="1">IFERROR(IF(ISNUMBER(BB18),INDEX('1.Locations'!J2:J21,BB18 + 1)," ")," ")</f>
        <v xml:space="preserve"> </v>
      </c>
      <c r="BL18" s="61" t="str">
        <f ca="1">IFERROR(IF(ISNUMBER(BB18),INDEX('1.Locations'!K2:K21,BB18 + 1)," ")," ")</f>
        <v xml:space="preserve"> </v>
      </c>
      <c r="BM18" s="61" t="str">
        <f ca="1">IFERROR(IF(ISNUMBER(BB18),IF(BA18 = BA5, 0, BK18 + BM17)," ")," ")</f>
        <v xml:space="preserve"> </v>
      </c>
      <c r="BN18" s="61" t="str">
        <f ca="1">IFERROR(IF(ISNUMBER(BB18),IF(BA19 = BA5, 0, IF(BA19 = "", 0, BN19 + BL19))," ")," ")</f>
        <v xml:space="preserve"> </v>
      </c>
      <c r="BO18" s="60" t="str">
        <f ca="1">IFERROR(IF(ISNUMBER(BB18),BM18 + BN18," ")," ")</f>
        <v xml:space="preserve"> </v>
      </c>
      <c r="BQ18" s="16">
        <v>13</v>
      </c>
      <c r="BR18" s="59"/>
      <c r="BS18" s="60" t="str">
        <f ca="1">IFERROR(MATCH(INDIRECT("BR18"),'1.Locations'!B2:B21, 0) - 1," ")</f>
        <v xml:space="preserve"> </v>
      </c>
      <c r="BT18" s="60" t="e">
        <f ca="1">IFERROR(IF(ISNUMBER(BS18),INDEX('1.Locations'!D2:D21,BS18 + 1),NA()),NA())</f>
        <v>#N/A</v>
      </c>
      <c r="BU18" s="60" t="e">
        <f ca="1">IFERROR(IF(ISNUMBER(BS18),INDEX('1.Locations'!E2:E21,BS18 + 1),NA()),NA())</f>
        <v>#N/A</v>
      </c>
      <c r="BV18" s="61" t="str">
        <f ca="1">IFERROR(IF(ISNUMBER(BS18),INDEX('2.Distances'!C2:C401,BS17*20+BS18+ 1) +BV17," ")," ")</f>
        <v xml:space="preserve"> </v>
      </c>
      <c r="BW18" s="62" t="str">
        <f ca="1">IFERROR(IF(ISNUMBER(BS18),'3.Vehicles'!F2 * INDEX('2.Distances'!D2:D401,BS17*20+BS18 + 1) +BW17," ")," ")</f>
        <v xml:space="preserve"> </v>
      </c>
      <c r="BX18" s="63" t="str">
        <f ca="1">IFERROR(IF(ISNUMBER(BS18),'3.Vehicles'!F2 * INDEX('2.Distances'!D2:D401,BS17*20+BS18 + 1) +BY17," ")," ")</f>
        <v xml:space="preserve"> </v>
      </c>
      <c r="BY18" s="63" t="str">
        <f ca="1">IFERROR(IF(AND(BS5&lt;&gt;BS18,ISNUMBER(BX18)),INDEX('1.Locations'!I2:I21,BS18 + 1) + MAX(BX18,INDEX('1.Locations'!F2:F21,BS18 + 1))," ")," ")</f>
        <v xml:space="preserve"> </v>
      </c>
      <c r="BZ18" s="62" t="str">
        <f ca="1">IFERROR(IF(AND(BR18 = BR5, BR19 = ""), BX18 - BY5, BY18 - BY5)," ")</f>
        <v xml:space="preserve"> </v>
      </c>
      <c r="CA18" s="60" t="str">
        <f ca="1">IFERROR(IF(ISNUMBER(BS18),INDEX('1.Locations'!L2:L21,BS18 + 1) + CA17," ")," ")</f>
        <v xml:space="preserve"> </v>
      </c>
      <c r="CB18" s="61" t="str">
        <f ca="1">IFERROR(IF(ISNUMBER(BS18),INDEX('1.Locations'!J2:J21,BS18 + 1)," ")," ")</f>
        <v xml:space="preserve"> </v>
      </c>
      <c r="CC18" s="61" t="str">
        <f ca="1">IFERROR(IF(ISNUMBER(BS18),INDEX('1.Locations'!K2:K21,BS18 + 1)," ")," ")</f>
        <v xml:space="preserve"> </v>
      </c>
      <c r="CD18" s="61" t="str">
        <f ca="1">IFERROR(IF(ISNUMBER(BS18),IF(BR18 = BR5, 0, CB18 + CD17)," ")," ")</f>
        <v xml:space="preserve"> </v>
      </c>
      <c r="CE18" s="61" t="str">
        <f ca="1">IFERROR(IF(ISNUMBER(BS18),IF(BR19 = BR5, 0, IF(BR19 = "", 0, CE19 + CC19))," ")," ")</f>
        <v xml:space="preserve"> </v>
      </c>
      <c r="CF18" s="60" t="str">
        <f ca="1">IFERROR(IF(ISNUMBER(BS18),CD18 + CE18," ")," ")</f>
        <v xml:space="preserve"> </v>
      </c>
      <c r="CH18" s="16">
        <v>13</v>
      </c>
      <c r="CI18" s="59"/>
      <c r="CJ18" s="60" t="str">
        <f ca="1">IFERROR(MATCH(INDIRECT("CI18"),'1.Locations'!B2:B21, 0) - 1," ")</f>
        <v xml:space="preserve"> </v>
      </c>
      <c r="CK18" s="60" t="e">
        <f ca="1">IFERROR(IF(ISNUMBER(CJ18),INDEX('1.Locations'!D2:D21,CJ18 + 1),NA()),NA())</f>
        <v>#N/A</v>
      </c>
      <c r="CL18" s="60" t="e">
        <f ca="1">IFERROR(IF(ISNUMBER(CJ18),INDEX('1.Locations'!E2:E21,CJ18 + 1),NA()),NA())</f>
        <v>#N/A</v>
      </c>
      <c r="CM18" s="61" t="str">
        <f ca="1">IFERROR(IF(ISNUMBER(CJ18),INDEX('2.Distances'!C2:C401,CJ17*20+CJ18+ 1) +CM17," ")," ")</f>
        <v xml:space="preserve"> </v>
      </c>
      <c r="CN18" s="62" t="str">
        <f ca="1">IFERROR(IF(ISNUMBER(CJ18),'3.Vehicles'!F2 * INDEX('2.Distances'!D2:D401,CJ17*20+CJ18 + 1) +CN17," ")," ")</f>
        <v xml:space="preserve"> </v>
      </c>
      <c r="CO18" s="63" t="str">
        <f ca="1">IFERROR(IF(ISNUMBER(CJ18),'3.Vehicles'!F2 * INDEX('2.Distances'!D2:D401,CJ17*20+CJ18 + 1) +CP17," ")," ")</f>
        <v xml:space="preserve"> </v>
      </c>
      <c r="CP18" s="63" t="str">
        <f ca="1">IFERROR(IF(AND(CJ5&lt;&gt;CJ18,ISNUMBER(CO18)),INDEX('1.Locations'!I2:I21,CJ18 + 1) + MAX(CO18,INDEX('1.Locations'!F2:F21,CJ18 + 1))," ")," ")</f>
        <v xml:space="preserve"> </v>
      </c>
      <c r="CQ18" s="62" t="str">
        <f ca="1">IFERROR(IF(AND(CI18 = CI5, CI19 = ""), CO18 - CP5, CP18 - CP5)," ")</f>
        <v xml:space="preserve"> </v>
      </c>
      <c r="CR18" s="60" t="str">
        <f ca="1">IFERROR(IF(ISNUMBER(CJ18),INDEX('1.Locations'!L2:L21,CJ18 + 1) + CR17," ")," ")</f>
        <v xml:space="preserve"> </v>
      </c>
      <c r="CS18" s="61" t="str">
        <f ca="1">IFERROR(IF(ISNUMBER(CJ18),INDEX('1.Locations'!J2:J21,CJ18 + 1)," ")," ")</f>
        <v xml:space="preserve"> </v>
      </c>
      <c r="CT18" s="61" t="str">
        <f ca="1">IFERROR(IF(ISNUMBER(CJ18),INDEX('1.Locations'!K2:K21,CJ18 + 1)," ")," ")</f>
        <v xml:space="preserve"> </v>
      </c>
      <c r="CU18" s="61" t="str">
        <f ca="1">IFERROR(IF(ISNUMBER(CJ18),IF(CI18 = CI5, 0, CS18 + CU17)," ")," ")</f>
        <v xml:space="preserve"> </v>
      </c>
      <c r="CV18" s="61" t="str">
        <f ca="1">IFERROR(IF(ISNUMBER(CJ18),IF(CI19 = CI5, 0, IF(CI19 = "", 0, CV19 + CT19))," ")," ")</f>
        <v xml:space="preserve"> </v>
      </c>
      <c r="CW18" s="60" t="str">
        <f ca="1">IFERROR(IF(ISNUMBER(CJ18),CU18 + CV18," ")," ")</f>
        <v xml:space="preserve"> </v>
      </c>
      <c r="CY18" s="16">
        <v>13</v>
      </c>
      <c r="CZ18" s="59"/>
      <c r="DA18" s="60" t="str">
        <f ca="1">IFERROR(MATCH(INDIRECT("CZ18"),'1.Locations'!B2:B21, 0) - 1," ")</f>
        <v xml:space="preserve"> </v>
      </c>
      <c r="DB18" s="60" t="e">
        <f ca="1">IFERROR(IF(ISNUMBER(DA18),INDEX('1.Locations'!D2:D21,DA18 + 1),NA()),NA())</f>
        <v>#N/A</v>
      </c>
      <c r="DC18" s="60" t="e">
        <f ca="1">IFERROR(IF(ISNUMBER(DA18),INDEX('1.Locations'!E2:E21,DA18 + 1),NA()),NA())</f>
        <v>#N/A</v>
      </c>
      <c r="DD18" s="61" t="str">
        <f ca="1">IFERROR(IF(ISNUMBER(DA18),INDEX('2.Distances'!C2:C401,DA17*20+DA18+ 1) +DD17," ")," ")</f>
        <v xml:space="preserve"> </v>
      </c>
      <c r="DE18" s="62" t="str">
        <f ca="1">IFERROR(IF(ISNUMBER(DA18),'3.Vehicles'!F2 * INDEX('2.Distances'!D2:D401,DA17*20+DA18 + 1) +DE17," ")," ")</f>
        <v xml:space="preserve"> </v>
      </c>
      <c r="DF18" s="63" t="str">
        <f ca="1">IFERROR(IF(ISNUMBER(DA18),'3.Vehicles'!F2 * INDEX('2.Distances'!D2:D401,DA17*20+DA18 + 1) +DG17," ")," ")</f>
        <v xml:space="preserve"> </v>
      </c>
      <c r="DG18" s="63" t="str">
        <f ca="1">IFERROR(IF(AND(DA5&lt;&gt;DA18,ISNUMBER(DF18)),INDEX('1.Locations'!I2:I21,DA18 + 1) + MAX(DF18,INDEX('1.Locations'!F2:F21,DA18 + 1))," ")," ")</f>
        <v xml:space="preserve"> </v>
      </c>
      <c r="DH18" s="62" t="str">
        <f ca="1">IFERROR(IF(AND(CZ18 = CZ5, CZ19 = ""), DF18 - DG5, DG18 - DG5)," ")</f>
        <v xml:space="preserve"> </v>
      </c>
      <c r="DI18" s="60" t="str">
        <f ca="1">IFERROR(IF(ISNUMBER(DA18),INDEX('1.Locations'!L2:L21,DA18 + 1) + DI17," ")," ")</f>
        <v xml:space="preserve"> </v>
      </c>
      <c r="DJ18" s="61" t="str">
        <f ca="1">IFERROR(IF(ISNUMBER(DA18),INDEX('1.Locations'!J2:J21,DA18 + 1)," ")," ")</f>
        <v xml:space="preserve"> </v>
      </c>
      <c r="DK18" s="61" t="str">
        <f ca="1">IFERROR(IF(ISNUMBER(DA18),INDEX('1.Locations'!K2:K21,DA18 + 1)," ")," ")</f>
        <v xml:space="preserve"> </v>
      </c>
      <c r="DL18" s="61" t="str">
        <f ca="1">IFERROR(IF(ISNUMBER(DA18),IF(CZ18 = CZ5, 0, DJ18 + DL17)," ")," ")</f>
        <v xml:space="preserve"> </v>
      </c>
      <c r="DM18" s="61" t="str">
        <f ca="1">IFERROR(IF(ISNUMBER(DA18),IF(CZ19 = CZ5, 0, IF(CZ19 = "", 0, DM19 + DK19))," ")," ")</f>
        <v xml:space="preserve"> </v>
      </c>
      <c r="DN18" s="60" t="str">
        <f ca="1">IFERROR(IF(ISNUMBER(DA18),DL18 + DM18," ")," ")</f>
        <v xml:space="preserve"> </v>
      </c>
      <c r="DP18" s="16">
        <v>13</v>
      </c>
      <c r="DQ18" s="59"/>
      <c r="DR18" s="60" t="str">
        <f ca="1">IFERROR(MATCH(INDIRECT("DQ18"),'1.Locations'!B2:B21, 0) - 1," ")</f>
        <v xml:space="preserve"> </v>
      </c>
      <c r="DS18" s="60" t="e">
        <f ca="1">IFERROR(IF(ISNUMBER(DR18),INDEX('1.Locations'!D2:D21,DR18 + 1),NA()),NA())</f>
        <v>#N/A</v>
      </c>
      <c r="DT18" s="60" t="e">
        <f ca="1">IFERROR(IF(ISNUMBER(DR18),INDEX('1.Locations'!E2:E21,DR18 + 1),NA()),NA())</f>
        <v>#N/A</v>
      </c>
      <c r="DU18" s="61" t="str">
        <f ca="1">IFERROR(IF(ISNUMBER(DR18),INDEX('2.Distances'!C2:C401,DR17*20+DR18+ 1) +DU17," ")," ")</f>
        <v xml:space="preserve"> </v>
      </c>
      <c r="DV18" s="62" t="str">
        <f ca="1">IFERROR(IF(ISNUMBER(DR18),'3.Vehicles'!F2 * INDEX('2.Distances'!D2:D401,DR17*20+DR18 + 1) +DV17," ")," ")</f>
        <v xml:space="preserve"> </v>
      </c>
      <c r="DW18" s="63" t="str">
        <f ca="1">IFERROR(IF(ISNUMBER(DR18),'3.Vehicles'!F2 * INDEX('2.Distances'!D2:D401,DR17*20+DR18 + 1) +DX17," ")," ")</f>
        <v xml:space="preserve"> </v>
      </c>
      <c r="DX18" s="63" t="str">
        <f ca="1">IFERROR(IF(AND(DR5&lt;&gt;DR18,ISNUMBER(DW18)),INDEX('1.Locations'!I2:I21,DR18 + 1) + MAX(DW18,INDEX('1.Locations'!F2:F21,DR18 + 1))," ")," ")</f>
        <v xml:space="preserve"> </v>
      </c>
      <c r="DY18" s="62" t="str">
        <f ca="1">IFERROR(IF(AND(DQ18 = DQ5, DQ19 = ""), DW18 - DX5, DX18 - DX5)," ")</f>
        <v xml:space="preserve"> </v>
      </c>
      <c r="DZ18" s="60" t="str">
        <f ca="1">IFERROR(IF(ISNUMBER(DR18),INDEX('1.Locations'!L2:L21,DR18 + 1) + DZ17," ")," ")</f>
        <v xml:space="preserve"> </v>
      </c>
      <c r="EA18" s="61" t="str">
        <f ca="1">IFERROR(IF(ISNUMBER(DR18),INDEX('1.Locations'!J2:J21,DR18 + 1)," ")," ")</f>
        <v xml:space="preserve"> </v>
      </c>
      <c r="EB18" s="61" t="str">
        <f ca="1">IFERROR(IF(ISNUMBER(DR18),INDEX('1.Locations'!K2:K21,DR18 + 1)," ")," ")</f>
        <v xml:space="preserve"> </v>
      </c>
      <c r="EC18" s="61" t="str">
        <f ca="1">IFERROR(IF(ISNUMBER(DR18),IF(DQ18 = DQ5, 0, EA18 + EC17)," ")," ")</f>
        <v xml:space="preserve"> </v>
      </c>
      <c r="ED18" s="61" t="str">
        <f ca="1">IFERROR(IF(ISNUMBER(DR18),IF(DQ19 = DQ5, 0, IF(DQ19 = "", 0, ED19 + EB19))," ")," ")</f>
        <v xml:space="preserve"> </v>
      </c>
      <c r="EE18" s="60" t="str">
        <f ca="1">IFERROR(IF(ISNUMBER(DR18),EC18 + ED18," ")," ")</f>
        <v xml:space="preserve"> </v>
      </c>
      <c r="EG18" s="16">
        <v>13</v>
      </c>
      <c r="EH18" s="59"/>
      <c r="EI18" s="60" t="str">
        <f ca="1">IFERROR(MATCH(INDIRECT("EH18"),'1.Locations'!B2:B21, 0) - 1," ")</f>
        <v xml:space="preserve"> </v>
      </c>
      <c r="EJ18" s="60" t="e">
        <f ca="1">IFERROR(IF(ISNUMBER(EI18),INDEX('1.Locations'!D2:D21,EI18 + 1),NA()),NA())</f>
        <v>#N/A</v>
      </c>
      <c r="EK18" s="60" t="e">
        <f ca="1">IFERROR(IF(ISNUMBER(EI18),INDEX('1.Locations'!E2:E21,EI18 + 1),NA()),NA())</f>
        <v>#N/A</v>
      </c>
      <c r="EL18" s="61" t="str">
        <f ca="1">IFERROR(IF(ISNUMBER(EI18),INDEX('2.Distances'!C2:C401,EI17*20+EI18+ 1) +EL17," ")," ")</f>
        <v xml:space="preserve"> </v>
      </c>
      <c r="EM18" s="62" t="str">
        <f ca="1">IFERROR(IF(ISNUMBER(EI18),'3.Vehicles'!F2 * INDEX('2.Distances'!D2:D401,EI17*20+EI18 + 1) +EM17," ")," ")</f>
        <v xml:space="preserve"> </v>
      </c>
      <c r="EN18" s="63" t="str">
        <f ca="1">IFERROR(IF(ISNUMBER(EI18),'3.Vehicles'!F2 * INDEX('2.Distances'!D2:D401,EI17*20+EI18 + 1) +EO17," ")," ")</f>
        <v xml:space="preserve"> </v>
      </c>
      <c r="EO18" s="63" t="str">
        <f ca="1">IFERROR(IF(AND(EI5&lt;&gt;EI18,ISNUMBER(EN18)),INDEX('1.Locations'!I2:I21,EI18 + 1) + MAX(EN18,INDEX('1.Locations'!F2:F21,EI18 + 1))," ")," ")</f>
        <v xml:space="preserve"> </v>
      </c>
      <c r="EP18" s="62" t="str">
        <f ca="1">IFERROR(IF(AND(EH18 = EH5, EH19 = ""), EN18 - EO5, EO18 - EO5)," ")</f>
        <v xml:space="preserve"> </v>
      </c>
      <c r="EQ18" s="60" t="str">
        <f ca="1">IFERROR(IF(ISNUMBER(EI18),INDEX('1.Locations'!L2:L21,EI18 + 1) + EQ17," ")," ")</f>
        <v xml:space="preserve"> </v>
      </c>
      <c r="ER18" s="61" t="str">
        <f ca="1">IFERROR(IF(ISNUMBER(EI18),INDEX('1.Locations'!J2:J21,EI18 + 1)," ")," ")</f>
        <v xml:space="preserve"> </v>
      </c>
      <c r="ES18" s="61" t="str">
        <f ca="1">IFERROR(IF(ISNUMBER(EI18),INDEX('1.Locations'!K2:K21,EI18 + 1)," ")," ")</f>
        <v xml:space="preserve"> </v>
      </c>
      <c r="ET18" s="61" t="str">
        <f ca="1">IFERROR(IF(ISNUMBER(EI18),IF(EH18 = EH5, 0, ER18 + ET17)," ")," ")</f>
        <v xml:space="preserve"> </v>
      </c>
      <c r="EU18" s="61" t="str">
        <f ca="1">IFERROR(IF(ISNUMBER(EI18),IF(EH19 = EH5, 0, IF(EH19 = "", 0, EU19 + ES19))," ")," ")</f>
        <v xml:space="preserve"> </v>
      </c>
      <c r="EV18" s="60" t="str">
        <f ca="1">IFERROR(IF(ISNUMBER(EI18),ET18 + EU18," ")," ")</f>
        <v xml:space="preserve"> </v>
      </c>
      <c r="EX18" s="16">
        <v>13</v>
      </c>
      <c r="EY18" s="59"/>
      <c r="EZ18" s="60" t="str">
        <f ca="1">IFERROR(MATCH(INDIRECT("EY18"),'1.Locations'!B2:B21, 0) - 1," ")</f>
        <v xml:space="preserve"> </v>
      </c>
      <c r="FA18" s="60" t="e">
        <f ca="1">IFERROR(IF(ISNUMBER(EZ18),INDEX('1.Locations'!D2:D21,EZ18 + 1),NA()),NA())</f>
        <v>#N/A</v>
      </c>
      <c r="FB18" s="60" t="e">
        <f ca="1">IFERROR(IF(ISNUMBER(EZ18),INDEX('1.Locations'!E2:E21,EZ18 + 1),NA()),NA())</f>
        <v>#N/A</v>
      </c>
      <c r="FC18" s="61" t="str">
        <f ca="1">IFERROR(IF(ISNUMBER(EZ18),INDEX('2.Distances'!C2:C401,EZ17*20+EZ18+ 1) +FC17," ")," ")</f>
        <v xml:space="preserve"> </v>
      </c>
      <c r="FD18" s="62" t="str">
        <f ca="1">IFERROR(IF(ISNUMBER(EZ18),'3.Vehicles'!F2 * INDEX('2.Distances'!D2:D401,EZ17*20+EZ18 + 1) +FD17," ")," ")</f>
        <v xml:space="preserve"> </v>
      </c>
      <c r="FE18" s="63" t="str">
        <f ca="1">IFERROR(IF(ISNUMBER(EZ18),'3.Vehicles'!F2 * INDEX('2.Distances'!D2:D401,EZ17*20+EZ18 + 1) +FF17," ")," ")</f>
        <v xml:space="preserve"> </v>
      </c>
      <c r="FF18" s="63" t="str">
        <f ca="1">IFERROR(IF(AND(EZ5&lt;&gt;EZ18,ISNUMBER(FE18)),INDEX('1.Locations'!I2:I21,EZ18 + 1) + MAX(FE18,INDEX('1.Locations'!F2:F21,EZ18 + 1))," ")," ")</f>
        <v xml:space="preserve"> </v>
      </c>
      <c r="FG18" s="62" t="str">
        <f ca="1">IFERROR(IF(AND(EY18 = EY5, EY19 = ""), FE18 - FF5, FF18 - FF5)," ")</f>
        <v xml:space="preserve"> </v>
      </c>
      <c r="FH18" s="60" t="str">
        <f ca="1">IFERROR(IF(ISNUMBER(EZ18),INDEX('1.Locations'!L2:L21,EZ18 + 1) + FH17," ")," ")</f>
        <v xml:space="preserve"> </v>
      </c>
      <c r="FI18" s="61" t="str">
        <f ca="1">IFERROR(IF(ISNUMBER(EZ18),INDEX('1.Locations'!J2:J21,EZ18 + 1)," ")," ")</f>
        <v xml:space="preserve"> </v>
      </c>
      <c r="FJ18" s="61" t="str">
        <f ca="1">IFERROR(IF(ISNUMBER(EZ18),INDEX('1.Locations'!K2:K21,EZ18 + 1)," ")," ")</f>
        <v xml:space="preserve"> </v>
      </c>
      <c r="FK18" s="61" t="str">
        <f ca="1">IFERROR(IF(ISNUMBER(EZ18),IF(EY18 = EY5, 0, FI18 + FK17)," ")," ")</f>
        <v xml:space="preserve"> </v>
      </c>
      <c r="FL18" s="61" t="str">
        <f ca="1">IFERROR(IF(ISNUMBER(EZ18),IF(EY19 = EY5, 0, IF(EY19 = "", 0, FL19 + FJ19))," ")," ")</f>
        <v xml:space="preserve"> </v>
      </c>
      <c r="FM18" s="60" t="str">
        <f ca="1">IFERROR(IF(ISNUMBER(EZ18),FK18 + FL18," ")," ")</f>
        <v xml:space="preserve"> </v>
      </c>
    </row>
    <row r="19" spans="1:169" x14ac:dyDescent="0.3">
      <c r="A19" s="16">
        <v>14</v>
      </c>
      <c r="B19" s="65"/>
      <c r="C19" s="60" t="str">
        <f ca="1">IFERROR(MATCH(INDIRECT("B19"),'1.Locations'!B2:B21, 0) - 1," ")</f>
        <v xml:space="preserve"> </v>
      </c>
      <c r="D19" s="60" t="e">
        <f ca="1">IFERROR(IF(ISNUMBER(C19),INDEX('1.Locations'!D2:D21,C19 + 1),NA()),NA())</f>
        <v>#N/A</v>
      </c>
      <c r="E19" s="60" t="e">
        <f ca="1">IFERROR(IF(ISNUMBER(C19),INDEX('1.Locations'!E2:E21,C19 + 1),NA()),NA())</f>
        <v>#N/A</v>
      </c>
      <c r="F19" s="61" t="str">
        <f ca="1">IFERROR(IF(ISNUMBER(C19),INDEX('2.Distances'!C2:C401,C18*20+C19+ 1) +F18," ")," ")</f>
        <v xml:space="preserve"> </v>
      </c>
      <c r="G19" s="62" t="str">
        <f ca="1">IFERROR(IF(ISNUMBER(C19),'3.Vehicles'!F2 * INDEX('2.Distances'!D2:D401,C18*20+C19 + 1) +G18," ")," ")</f>
        <v xml:space="preserve"> </v>
      </c>
      <c r="H19" s="63" t="str">
        <f ca="1">IFERROR(IF(ISNUMBER(C19),'3.Vehicles'!F2 * INDEX('2.Distances'!D2:D401,C18*20+C19 + 1) +I18," ")," ")</f>
        <v xml:space="preserve"> </v>
      </c>
      <c r="I19" s="63" t="str">
        <f ca="1">IFERROR(IF(AND(C5&lt;&gt;C19,ISNUMBER(H19)),INDEX('1.Locations'!I2:I21,C19 + 1) + MAX(H19,INDEX('1.Locations'!F2:F21,C19 + 1))," ")," ")</f>
        <v xml:space="preserve"> </v>
      </c>
      <c r="J19" s="62" t="str">
        <f ca="1">IFERROR(IF(AND(B19 = B5, B20 = ""), H19 - I5, I19 - I5)," ")</f>
        <v xml:space="preserve"> </v>
      </c>
      <c r="K19" s="60" t="str">
        <f ca="1">IFERROR(IF(ISNUMBER(C19),INDEX('1.Locations'!L2:L21,C19 + 1) + K18," ")," ")</f>
        <v xml:space="preserve"> </v>
      </c>
      <c r="L19" s="61" t="str">
        <f ca="1">IFERROR(IF(ISNUMBER(C19),INDEX('1.Locations'!J2:J21,C19 + 1)," ")," ")</f>
        <v xml:space="preserve"> </v>
      </c>
      <c r="M19" s="61" t="str">
        <f ca="1">IFERROR(IF(ISNUMBER(C19),INDEX('1.Locations'!K2:K21,C19 + 1)," ")," ")</f>
        <v xml:space="preserve"> </v>
      </c>
      <c r="N19" s="61" t="str">
        <f ca="1">IFERROR(IF(ISNUMBER(C19),IF(B19 = B5, 0, L19 + N18)," ")," ")</f>
        <v xml:space="preserve"> </v>
      </c>
      <c r="O19" s="61" t="str">
        <f ca="1">IFERROR(IF(ISNUMBER(C19),IF(B20 = B5, 0, IF(B20 = "", 0, O20 + M20))," ")," ")</f>
        <v xml:space="preserve"> </v>
      </c>
      <c r="P19" s="60" t="str">
        <f ca="1">IFERROR(IF(ISNUMBER(C19),N19 + O19," ")," ")</f>
        <v xml:space="preserve"> </v>
      </c>
      <c r="R19" s="16">
        <v>14</v>
      </c>
      <c r="S19" s="65"/>
      <c r="T19" s="60" t="str">
        <f ca="1">IFERROR(MATCH(INDIRECT("S19"),'1.Locations'!B2:B21, 0) - 1," ")</f>
        <v xml:space="preserve"> </v>
      </c>
      <c r="U19" s="60" t="e">
        <f ca="1">IFERROR(IF(ISNUMBER(T19),INDEX('1.Locations'!D2:D21,T19 + 1),NA()),NA())</f>
        <v>#N/A</v>
      </c>
      <c r="V19" s="60" t="e">
        <f ca="1">IFERROR(IF(ISNUMBER(T19),INDEX('1.Locations'!E2:E21,T19 + 1),NA()),NA())</f>
        <v>#N/A</v>
      </c>
      <c r="W19" s="61" t="str">
        <f ca="1">IFERROR(IF(ISNUMBER(T19),INDEX('2.Distances'!C2:C401,T18*20+T19+ 1) +W18," ")," ")</f>
        <v xml:space="preserve"> </v>
      </c>
      <c r="X19" s="62" t="str">
        <f ca="1">IFERROR(IF(ISNUMBER(T19),'3.Vehicles'!F2 * INDEX('2.Distances'!D2:D401,T18*20+T19 + 1) +X18," ")," ")</f>
        <v xml:space="preserve"> </v>
      </c>
      <c r="Y19" s="63" t="str">
        <f ca="1">IFERROR(IF(ISNUMBER(T19),'3.Vehicles'!F2 * INDEX('2.Distances'!D2:D401,T18*20+T19 + 1) +Z18," ")," ")</f>
        <v xml:space="preserve"> </v>
      </c>
      <c r="Z19" s="63" t="str">
        <f ca="1">IFERROR(IF(AND(T5&lt;&gt;T19,ISNUMBER(Y19)),INDEX('1.Locations'!I2:I21,T19 + 1) + MAX(Y19,INDEX('1.Locations'!F2:F21,T19 + 1))," ")," ")</f>
        <v xml:space="preserve"> </v>
      </c>
      <c r="AA19" s="62" t="str">
        <f ca="1">IFERROR(IF(AND(S19 = S5, S20 = ""), Y19 - Z5, Z19 - Z5)," ")</f>
        <v xml:space="preserve"> </v>
      </c>
      <c r="AB19" s="60" t="str">
        <f ca="1">IFERROR(IF(ISNUMBER(T19),INDEX('1.Locations'!L2:L21,T19 + 1) + AB18," ")," ")</f>
        <v xml:space="preserve"> </v>
      </c>
      <c r="AC19" s="61" t="str">
        <f ca="1">IFERROR(IF(ISNUMBER(T19),INDEX('1.Locations'!J2:J21,T19 + 1)," ")," ")</f>
        <v xml:space="preserve"> </v>
      </c>
      <c r="AD19" s="61" t="str">
        <f ca="1">IFERROR(IF(ISNUMBER(T19),INDEX('1.Locations'!K2:K21,T19 + 1)," ")," ")</f>
        <v xml:space="preserve"> </v>
      </c>
      <c r="AE19" s="61" t="str">
        <f ca="1">IFERROR(IF(ISNUMBER(T19),IF(S19 = S5, 0, AC19 + AE18)," ")," ")</f>
        <v xml:space="preserve"> </v>
      </c>
      <c r="AF19" s="61" t="str">
        <f ca="1">IFERROR(IF(ISNUMBER(T19),IF(S20 = S5, 0, IF(S20 = "", 0, AF20 + AD20))," ")," ")</f>
        <v xml:space="preserve"> </v>
      </c>
      <c r="AG19" s="60" t="str">
        <f ca="1">IFERROR(IF(ISNUMBER(T19),AE19 + AF19," ")," ")</f>
        <v xml:space="preserve"> </v>
      </c>
      <c r="AI19" s="16">
        <v>14</v>
      </c>
      <c r="AJ19" s="65"/>
      <c r="AK19" s="60" t="str">
        <f ca="1">IFERROR(MATCH(INDIRECT("AJ19"),'1.Locations'!B2:B21, 0) - 1," ")</f>
        <v xml:space="preserve"> </v>
      </c>
      <c r="AL19" s="60" t="e">
        <f ca="1">IFERROR(IF(ISNUMBER(AK19),INDEX('1.Locations'!D2:D21,AK19 + 1),NA()),NA())</f>
        <v>#N/A</v>
      </c>
      <c r="AM19" s="60" t="e">
        <f ca="1">IFERROR(IF(ISNUMBER(AK19),INDEX('1.Locations'!E2:E21,AK19 + 1),NA()),NA())</f>
        <v>#N/A</v>
      </c>
      <c r="AN19" s="61" t="str">
        <f ca="1">IFERROR(IF(ISNUMBER(AK19),INDEX('2.Distances'!C2:C401,AK18*20+AK19+ 1) +AN18," ")," ")</f>
        <v xml:space="preserve"> </v>
      </c>
      <c r="AO19" s="62" t="str">
        <f ca="1">IFERROR(IF(ISNUMBER(AK19),'3.Vehicles'!F2 * INDEX('2.Distances'!D2:D401,AK18*20+AK19 + 1) +AO18," ")," ")</f>
        <v xml:space="preserve"> </v>
      </c>
      <c r="AP19" s="63" t="str">
        <f ca="1">IFERROR(IF(ISNUMBER(AK19),'3.Vehicles'!F2 * INDEX('2.Distances'!D2:D401,AK18*20+AK19 + 1) +AQ18," ")," ")</f>
        <v xml:space="preserve"> </v>
      </c>
      <c r="AQ19" s="63" t="str">
        <f ca="1">IFERROR(IF(AND(AK5&lt;&gt;AK19,ISNUMBER(AP19)),INDEX('1.Locations'!I2:I21,AK19 + 1) + MAX(AP19,INDEX('1.Locations'!F2:F21,AK19 + 1))," ")," ")</f>
        <v xml:space="preserve"> </v>
      </c>
      <c r="AR19" s="62" t="str">
        <f ca="1">IFERROR(IF(AND(AJ19 = AJ5, AJ20 = ""), AP19 - AQ5, AQ19 - AQ5)," ")</f>
        <v xml:space="preserve"> </v>
      </c>
      <c r="AS19" s="60" t="str">
        <f ca="1">IFERROR(IF(ISNUMBER(AK19),INDEX('1.Locations'!L2:L21,AK19 + 1) + AS18," ")," ")</f>
        <v xml:space="preserve"> </v>
      </c>
      <c r="AT19" s="61" t="str">
        <f ca="1">IFERROR(IF(ISNUMBER(AK19),INDEX('1.Locations'!J2:J21,AK19 + 1)," ")," ")</f>
        <v xml:space="preserve"> </v>
      </c>
      <c r="AU19" s="61" t="str">
        <f ca="1">IFERROR(IF(ISNUMBER(AK19),INDEX('1.Locations'!K2:K21,AK19 + 1)," ")," ")</f>
        <v xml:space="preserve"> </v>
      </c>
      <c r="AV19" s="61" t="str">
        <f ca="1">IFERROR(IF(ISNUMBER(AK19),IF(AJ19 = AJ5, 0, AT19 + AV18)," ")," ")</f>
        <v xml:space="preserve"> </v>
      </c>
      <c r="AW19" s="61" t="str">
        <f ca="1">IFERROR(IF(ISNUMBER(AK19),IF(AJ20 = AJ5, 0, IF(AJ20 = "", 0, AW20 + AU20))," ")," ")</f>
        <v xml:space="preserve"> </v>
      </c>
      <c r="AX19" s="60" t="str">
        <f ca="1">IFERROR(IF(ISNUMBER(AK19),AV19 + AW19," ")," ")</f>
        <v xml:space="preserve"> </v>
      </c>
      <c r="AZ19" s="16">
        <v>14</v>
      </c>
      <c r="BA19" s="65"/>
      <c r="BB19" s="60" t="str">
        <f ca="1">IFERROR(MATCH(INDIRECT("BA19"),'1.Locations'!B2:B21, 0) - 1," ")</f>
        <v xml:space="preserve"> </v>
      </c>
      <c r="BC19" s="60" t="e">
        <f ca="1">IFERROR(IF(ISNUMBER(BB19),INDEX('1.Locations'!D2:D21,BB19 + 1),NA()),NA())</f>
        <v>#N/A</v>
      </c>
      <c r="BD19" s="60" t="e">
        <f ca="1">IFERROR(IF(ISNUMBER(BB19),INDEX('1.Locations'!E2:E21,BB19 + 1),NA()),NA())</f>
        <v>#N/A</v>
      </c>
      <c r="BE19" s="61" t="str">
        <f ca="1">IFERROR(IF(ISNUMBER(BB19),INDEX('2.Distances'!C2:C401,BB18*20+BB19+ 1) +BE18," ")," ")</f>
        <v xml:space="preserve"> </v>
      </c>
      <c r="BF19" s="62" t="str">
        <f ca="1">IFERROR(IF(ISNUMBER(BB19),'3.Vehicles'!F2 * INDEX('2.Distances'!D2:D401,BB18*20+BB19 + 1) +BF18," ")," ")</f>
        <v xml:space="preserve"> </v>
      </c>
      <c r="BG19" s="63" t="str">
        <f ca="1">IFERROR(IF(ISNUMBER(BB19),'3.Vehicles'!F2 * INDEX('2.Distances'!D2:D401,BB18*20+BB19 + 1) +BH18," ")," ")</f>
        <v xml:space="preserve"> </v>
      </c>
      <c r="BH19" s="63" t="str">
        <f ca="1">IFERROR(IF(AND(BB5&lt;&gt;BB19,ISNUMBER(BG19)),INDEX('1.Locations'!I2:I21,BB19 + 1) + MAX(BG19,INDEX('1.Locations'!F2:F21,BB19 + 1))," ")," ")</f>
        <v xml:space="preserve"> </v>
      </c>
      <c r="BI19" s="62" t="str">
        <f ca="1">IFERROR(IF(AND(BA19 = BA5, BA20 = ""), BG19 - BH5, BH19 - BH5)," ")</f>
        <v xml:space="preserve"> </v>
      </c>
      <c r="BJ19" s="60" t="str">
        <f ca="1">IFERROR(IF(ISNUMBER(BB19),INDEX('1.Locations'!L2:L21,BB19 + 1) + BJ18," ")," ")</f>
        <v xml:space="preserve"> </v>
      </c>
      <c r="BK19" s="61" t="str">
        <f ca="1">IFERROR(IF(ISNUMBER(BB19),INDEX('1.Locations'!J2:J21,BB19 + 1)," ")," ")</f>
        <v xml:space="preserve"> </v>
      </c>
      <c r="BL19" s="61" t="str">
        <f ca="1">IFERROR(IF(ISNUMBER(BB19),INDEX('1.Locations'!K2:K21,BB19 + 1)," ")," ")</f>
        <v xml:space="preserve"> </v>
      </c>
      <c r="BM19" s="61" t="str">
        <f ca="1">IFERROR(IF(ISNUMBER(BB19),IF(BA19 = BA5, 0, BK19 + BM18)," ")," ")</f>
        <v xml:space="preserve"> </v>
      </c>
      <c r="BN19" s="61" t="str">
        <f ca="1">IFERROR(IF(ISNUMBER(BB19),IF(BA20 = BA5, 0, IF(BA20 = "", 0, BN20 + BL20))," ")," ")</f>
        <v xml:space="preserve"> </v>
      </c>
      <c r="BO19" s="60" t="str">
        <f ca="1">IFERROR(IF(ISNUMBER(BB19),BM19 + BN19," ")," ")</f>
        <v xml:space="preserve"> </v>
      </c>
      <c r="BQ19" s="16">
        <v>14</v>
      </c>
      <c r="BR19" s="65"/>
      <c r="BS19" s="60" t="str">
        <f ca="1">IFERROR(MATCH(INDIRECT("BR19"),'1.Locations'!B2:B21, 0) - 1," ")</f>
        <v xml:space="preserve"> </v>
      </c>
      <c r="BT19" s="60" t="e">
        <f ca="1">IFERROR(IF(ISNUMBER(BS19),INDEX('1.Locations'!D2:D21,BS19 + 1),NA()),NA())</f>
        <v>#N/A</v>
      </c>
      <c r="BU19" s="60" t="e">
        <f ca="1">IFERROR(IF(ISNUMBER(BS19),INDEX('1.Locations'!E2:E21,BS19 + 1),NA()),NA())</f>
        <v>#N/A</v>
      </c>
      <c r="BV19" s="61" t="str">
        <f ca="1">IFERROR(IF(ISNUMBER(BS19),INDEX('2.Distances'!C2:C401,BS18*20+BS19+ 1) +BV18," ")," ")</f>
        <v xml:space="preserve"> </v>
      </c>
      <c r="BW19" s="62" t="str">
        <f ca="1">IFERROR(IF(ISNUMBER(BS19),'3.Vehicles'!F2 * INDEX('2.Distances'!D2:D401,BS18*20+BS19 + 1) +BW18," ")," ")</f>
        <v xml:space="preserve"> </v>
      </c>
      <c r="BX19" s="63" t="str">
        <f ca="1">IFERROR(IF(ISNUMBER(BS19),'3.Vehicles'!F2 * INDEX('2.Distances'!D2:D401,BS18*20+BS19 + 1) +BY18," ")," ")</f>
        <v xml:space="preserve"> </v>
      </c>
      <c r="BY19" s="63" t="str">
        <f ca="1">IFERROR(IF(AND(BS5&lt;&gt;BS19,ISNUMBER(BX19)),INDEX('1.Locations'!I2:I21,BS19 + 1) + MAX(BX19,INDEX('1.Locations'!F2:F21,BS19 + 1))," ")," ")</f>
        <v xml:space="preserve"> </v>
      </c>
      <c r="BZ19" s="62" t="str">
        <f ca="1">IFERROR(IF(AND(BR19 = BR5, BR20 = ""), BX19 - BY5, BY19 - BY5)," ")</f>
        <v xml:space="preserve"> </v>
      </c>
      <c r="CA19" s="60" t="str">
        <f ca="1">IFERROR(IF(ISNUMBER(BS19),INDEX('1.Locations'!L2:L21,BS19 + 1) + CA18," ")," ")</f>
        <v xml:space="preserve"> </v>
      </c>
      <c r="CB19" s="61" t="str">
        <f ca="1">IFERROR(IF(ISNUMBER(BS19),INDEX('1.Locations'!J2:J21,BS19 + 1)," ")," ")</f>
        <v xml:space="preserve"> </v>
      </c>
      <c r="CC19" s="61" t="str">
        <f ca="1">IFERROR(IF(ISNUMBER(BS19),INDEX('1.Locations'!K2:K21,BS19 + 1)," ")," ")</f>
        <v xml:space="preserve"> </v>
      </c>
      <c r="CD19" s="61" t="str">
        <f ca="1">IFERROR(IF(ISNUMBER(BS19),IF(BR19 = BR5, 0, CB19 + CD18)," ")," ")</f>
        <v xml:space="preserve"> </v>
      </c>
      <c r="CE19" s="61" t="str">
        <f ca="1">IFERROR(IF(ISNUMBER(BS19),IF(BR20 = BR5, 0, IF(BR20 = "", 0, CE20 + CC20))," ")," ")</f>
        <v xml:space="preserve"> </v>
      </c>
      <c r="CF19" s="60" t="str">
        <f ca="1">IFERROR(IF(ISNUMBER(BS19),CD19 + CE19," ")," ")</f>
        <v xml:space="preserve"> </v>
      </c>
      <c r="CH19" s="16">
        <v>14</v>
      </c>
      <c r="CI19" s="65"/>
      <c r="CJ19" s="60" t="str">
        <f ca="1">IFERROR(MATCH(INDIRECT("CI19"),'1.Locations'!B2:B21, 0) - 1," ")</f>
        <v xml:space="preserve"> </v>
      </c>
      <c r="CK19" s="60" t="e">
        <f ca="1">IFERROR(IF(ISNUMBER(CJ19),INDEX('1.Locations'!D2:D21,CJ19 + 1),NA()),NA())</f>
        <v>#N/A</v>
      </c>
      <c r="CL19" s="60" t="e">
        <f ca="1">IFERROR(IF(ISNUMBER(CJ19),INDEX('1.Locations'!E2:E21,CJ19 + 1),NA()),NA())</f>
        <v>#N/A</v>
      </c>
      <c r="CM19" s="61" t="str">
        <f ca="1">IFERROR(IF(ISNUMBER(CJ19),INDEX('2.Distances'!C2:C401,CJ18*20+CJ19+ 1) +CM18," ")," ")</f>
        <v xml:space="preserve"> </v>
      </c>
      <c r="CN19" s="62" t="str">
        <f ca="1">IFERROR(IF(ISNUMBER(CJ19),'3.Vehicles'!F2 * INDEX('2.Distances'!D2:D401,CJ18*20+CJ19 + 1) +CN18," ")," ")</f>
        <v xml:space="preserve"> </v>
      </c>
      <c r="CO19" s="63" t="str">
        <f ca="1">IFERROR(IF(ISNUMBER(CJ19),'3.Vehicles'!F2 * INDEX('2.Distances'!D2:D401,CJ18*20+CJ19 + 1) +CP18," ")," ")</f>
        <v xml:space="preserve"> </v>
      </c>
      <c r="CP19" s="63" t="str">
        <f ca="1">IFERROR(IF(AND(CJ5&lt;&gt;CJ19,ISNUMBER(CO19)),INDEX('1.Locations'!I2:I21,CJ19 + 1) + MAX(CO19,INDEX('1.Locations'!F2:F21,CJ19 + 1))," ")," ")</f>
        <v xml:space="preserve"> </v>
      </c>
      <c r="CQ19" s="62" t="str">
        <f ca="1">IFERROR(IF(AND(CI19 = CI5, CI20 = ""), CO19 - CP5, CP19 - CP5)," ")</f>
        <v xml:space="preserve"> </v>
      </c>
      <c r="CR19" s="60" t="str">
        <f ca="1">IFERROR(IF(ISNUMBER(CJ19),INDEX('1.Locations'!L2:L21,CJ19 + 1) + CR18," ")," ")</f>
        <v xml:space="preserve"> </v>
      </c>
      <c r="CS19" s="61" t="str">
        <f ca="1">IFERROR(IF(ISNUMBER(CJ19),INDEX('1.Locations'!J2:J21,CJ19 + 1)," ")," ")</f>
        <v xml:space="preserve"> </v>
      </c>
      <c r="CT19" s="61" t="str">
        <f ca="1">IFERROR(IF(ISNUMBER(CJ19),INDEX('1.Locations'!K2:K21,CJ19 + 1)," ")," ")</f>
        <v xml:space="preserve"> </v>
      </c>
      <c r="CU19" s="61" t="str">
        <f ca="1">IFERROR(IF(ISNUMBER(CJ19),IF(CI19 = CI5, 0, CS19 + CU18)," ")," ")</f>
        <v xml:space="preserve"> </v>
      </c>
      <c r="CV19" s="61" t="str">
        <f ca="1">IFERROR(IF(ISNUMBER(CJ19),IF(CI20 = CI5, 0, IF(CI20 = "", 0, CV20 + CT20))," ")," ")</f>
        <v xml:space="preserve"> </v>
      </c>
      <c r="CW19" s="60" t="str">
        <f ca="1">IFERROR(IF(ISNUMBER(CJ19),CU19 + CV19," ")," ")</f>
        <v xml:space="preserve"> </v>
      </c>
      <c r="CY19" s="16">
        <v>14</v>
      </c>
      <c r="CZ19" s="65"/>
      <c r="DA19" s="60" t="str">
        <f ca="1">IFERROR(MATCH(INDIRECT("CZ19"),'1.Locations'!B2:B21, 0) - 1," ")</f>
        <v xml:space="preserve"> </v>
      </c>
      <c r="DB19" s="60" t="e">
        <f ca="1">IFERROR(IF(ISNUMBER(DA19),INDEX('1.Locations'!D2:D21,DA19 + 1),NA()),NA())</f>
        <v>#N/A</v>
      </c>
      <c r="DC19" s="60" t="e">
        <f ca="1">IFERROR(IF(ISNUMBER(DA19),INDEX('1.Locations'!E2:E21,DA19 + 1),NA()),NA())</f>
        <v>#N/A</v>
      </c>
      <c r="DD19" s="61" t="str">
        <f ca="1">IFERROR(IF(ISNUMBER(DA19),INDEX('2.Distances'!C2:C401,DA18*20+DA19+ 1) +DD18," ")," ")</f>
        <v xml:space="preserve"> </v>
      </c>
      <c r="DE19" s="62" t="str">
        <f ca="1">IFERROR(IF(ISNUMBER(DA19),'3.Vehicles'!F2 * INDEX('2.Distances'!D2:D401,DA18*20+DA19 + 1) +DE18," ")," ")</f>
        <v xml:space="preserve"> </v>
      </c>
      <c r="DF19" s="63" t="str">
        <f ca="1">IFERROR(IF(ISNUMBER(DA19),'3.Vehicles'!F2 * INDEX('2.Distances'!D2:D401,DA18*20+DA19 + 1) +DG18," ")," ")</f>
        <v xml:space="preserve"> </v>
      </c>
      <c r="DG19" s="63" t="str">
        <f ca="1">IFERROR(IF(AND(DA5&lt;&gt;DA19,ISNUMBER(DF19)),INDEX('1.Locations'!I2:I21,DA19 + 1) + MAX(DF19,INDEX('1.Locations'!F2:F21,DA19 + 1))," ")," ")</f>
        <v xml:space="preserve"> </v>
      </c>
      <c r="DH19" s="62" t="str">
        <f ca="1">IFERROR(IF(AND(CZ19 = CZ5, CZ20 = ""), DF19 - DG5, DG19 - DG5)," ")</f>
        <v xml:space="preserve"> </v>
      </c>
      <c r="DI19" s="60" t="str">
        <f ca="1">IFERROR(IF(ISNUMBER(DA19),INDEX('1.Locations'!L2:L21,DA19 + 1) + DI18," ")," ")</f>
        <v xml:space="preserve"> </v>
      </c>
      <c r="DJ19" s="61" t="str">
        <f ca="1">IFERROR(IF(ISNUMBER(DA19),INDEX('1.Locations'!J2:J21,DA19 + 1)," ")," ")</f>
        <v xml:space="preserve"> </v>
      </c>
      <c r="DK19" s="61" t="str">
        <f ca="1">IFERROR(IF(ISNUMBER(DA19),INDEX('1.Locations'!K2:K21,DA19 + 1)," ")," ")</f>
        <v xml:space="preserve"> </v>
      </c>
      <c r="DL19" s="61" t="str">
        <f ca="1">IFERROR(IF(ISNUMBER(DA19),IF(CZ19 = CZ5, 0, DJ19 + DL18)," ")," ")</f>
        <v xml:space="preserve"> </v>
      </c>
      <c r="DM19" s="61" t="str">
        <f ca="1">IFERROR(IF(ISNUMBER(DA19),IF(CZ20 = CZ5, 0, IF(CZ20 = "", 0, DM20 + DK20))," ")," ")</f>
        <v xml:space="preserve"> </v>
      </c>
      <c r="DN19" s="60" t="str">
        <f ca="1">IFERROR(IF(ISNUMBER(DA19),DL19 + DM19," ")," ")</f>
        <v xml:space="preserve"> </v>
      </c>
      <c r="DP19" s="16">
        <v>14</v>
      </c>
      <c r="DQ19" s="65"/>
      <c r="DR19" s="60" t="str">
        <f ca="1">IFERROR(MATCH(INDIRECT("DQ19"),'1.Locations'!B2:B21, 0) - 1," ")</f>
        <v xml:space="preserve"> </v>
      </c>
      <c r="DS19" s="60" t="e">
        <f ca="1">IFERROR(IF(ISNUMBER(DR19),INDEX('1.Locations'!D2:D21,DR19 + 1),NA()),NA())</f>
        <v>#N/A</v>
      </c>
      <c r="DT19" s="60" t="e">
        <f ca="1">IFERROR(IF(ISNUMBER(DR19),INDEX('1.Locations'!E2:E21,DR19 + 1),NA()),NA())</f>
        <v>#N/A</v>
      </c>
      <c r="DU19" s="61" t="str">
        <f ca="1">IFERROR(IF(ISNUMBER(DR19),INDEX('2.Distances'!C2:C401,DR18*20+DR19+ 1) +DU18," ")," ")</f>
        <v xml:space="preserve"> </v>
      </c>
      <c r="DV19" s="62" t="str">
        <f ca="1">IFERROR(IF(ISNUMBER(DR19),'3.Vehicles'!F2 * INDEX('2.Distances'!D2:D401,DR18*20+DR19 + 1) +DV18," ")," ")</f>
        <v xml:space="preserve"> </v>
      </c>
      <c r="DW19" s="63" t="str">
        <f ca="1">IFERROR(IF(ISNUMBER(DR19),'3.Vehicles'!F2 * INDEX('2.Distances'!D2:D401,DR18*20+DR19 + 1) +DX18," ")," ")</f>
        <v xml:space="preserve"> </v>
      </c>
      <c r="DX19" s="63" t="str">
        <f ca="1">IFERROR(IF(AND(DR5&lt;&gt;DR19,ISNUMBER(DW19)),INDEX('1.Locations'!I2:I21,DR19 + 1) + MAX(DW19,INDEX('1.Locations'!F2:F21,DR19 + 1))," ")," ")</f>
        <v xml:space="preserve"> </v>
      </c>
      <c r="DY19" s="62" t="str">
        <f ca="1">IFERROR(IF(AND(DQ19 = DQ5, DQ20 = ""), DW19 - DX5, DX19 - DX5)," ")</f>
        <v xml:space="preserve"> </v>
      </c>
      <c r="DZ19" s="60" t="str">
        <f ca="1">IFERROR(IF(ISNUMBER(DR19),INDEX('1.Locations'!L2:L21,DR19 + 1) + DZ18," ")," ")</f>
        <v xml:space="preserve"> </v>
      </c>
      <c r="EA19" s="61" t="str">
        <f ca="1">IFERROR(IF(ISNUMBER(DR19),INDEX('1.Locations'!J2:J21,DR19 + 1)," ")," ")</f>
        <v xml:space="preserve"> </v>
      </c>
      <c r="EB19" s="61" t="str">
        <f ca="1">IFERROR(IF(ISNUMBER(DR19),INDEX('1.Locations'!K2:K21,DR19 + 1)," ")," ")</f>
        <v xml:space="preserve"> </v>
      </c>
      <c r="EC19" s="61" t="str">
        <f ca="1">IFERROR(IF(ISNUMBER(DR19),IF(DQ19 = DQ5, 0, EA19 + EC18)," ")," ")</f>
        <v xml:space="preserve"> </v>
      </c>
      <c r="ED19" s="61" t="str">
        <f ca="1">IFERROR(IF(ISNUMBER(DR19),IF(DQ20 = DQ5, 0, IF(DQ20 = "", 0, ED20 + EB20))," ")," ")</f>
        <v xml:space="preserve"> </v>
      </c>
      <c r="EE19" s="60" t="str">
        <f ca="1">IFERROR(IF(ISNUMBER(DR19),EC19 + ED19," ")," ")</f>
        <v xml:space="preserve"> </v>
      </c>
      <c r="EG19" s="16">
        <v>14</v>
      </c>
      <c r="EH19" s="65"/>
      <c r="EI19" s="60" t="str">
        <f ca="1">IFERROR(MATCH(INDIRECT("EH19"),'1.Locations'!B2:B21, 0) - 1," ")</f>
        <v xml:space="preserve"> </v>
      </c>
      <c r="EJ19" s="60" t="e">
        <f ca="1">IFERROR(IF(ISNUMBER(EI19),INDEX('1.Locations'!D2:D21,EI19 + 1),NA()),NA())</f>
        <v>#N/A</v>
      </c>
      <c r="EK19" s="60" t="e">
        <f ca="1">IFERROR(IF(ISNUMBER(EI19),INDEX('1.Locations'!E2:E21,EI19 + 1),NA()),NA())</f>
        <v>#N/A</v>
      </c>
      <c r="EL19" s="61" t="str">
        <f ca="1">IFERROR(IF(ISNUMBER(EI19),INDEX('2.Distances'!C2:C401,EI18*20+EI19+ 1) +EL18," ")," ")</f>
        <v xml:space="preserve"> </v>
      </c>
      <c r="EM19" s="62" t="str">
        <f ca="1">IFERROR(IF(ISNUMBER(EI19),'3.Vehicles'!F2 * INDEX('2.Distances'!D2:D401,EI18*20+EI19 + 1) +EM18," ")," ")</f>
        <v xml:space="preserve"> </v>
      </c>
      <c r="EN19" s="63" t="str">
        <f ca="1">IFERROR(IF(ISNUMBER(EI19),'3.Vehicles'!F2 * INDEX('2.Distances'!D2:D401,EI18*20+EI19 + 1) +EO18," ")," ")</f>
        <v xml:space="preserve"> </v>
      </c>
      <c r="EO19" s="63" t="str">
        <f ca="1">IFERROR(IF(AND(EI5&lt;&gt;EI19,ISNUMBER(EN19)),INDEX('1.Locations'!I2:I21,EI19 + 1) + MAX(EN19,INDEX('1.Locations'!F2:F21,EI19 + 1))," ")," ")</f>
        <v xml:space="preserve"> </v>
      </c>
      <c r="EP19" s="62" t="str">
        <f ca="1">IFERROR(IF(AND(EH19 = EH5, EH20 = ""), EN19 - EO5, EO19 - EO5)," ")</f>
        <v xml:space="preserve"> </v>
      </c>
      <c r="EQ19" s="60" t="str">
        <f ca="1">IFERROR(IF(ISNUMBER(EI19),INDEX('1.Locations'!L2:L21,EI19 + 1) + EQ18," ")," ")</f>
        <v xml:space="preserve"> </v>
      </c>
      <c r="ER19" s="61" t="str">
        <f ca="1">IFERROR(IF(ISNUMBER(EI19),INDEX('1.Locations'!J2:J21,EI19 + 1)," ")," ")</f>
        <v xml:space="preserve"> </v>
      </c>
      <c r="ES19" s="61" t="str">
        <f ca="1">IFERROR(IF(ISNUMBER(EI19),INDEX('1.Locations'!K2:K21,EI19 + 1)," ")," ")</f>
        <v xml:space="preserve"> </v>
      </c>
      <c r="ET19" s="61" t="str">
        <f ca="1">IFERROR(IF(ISNUMBER(EI19),IF(EH19 = EH5, 0, ER19 + ET18)," ")," ")</f>
        <v xml:space="preserve"> </v>
      </c>
      <c r="EU19" s="61" t="str">
        <f ca="1">IFERROR(IF(ISNUMBER(EI19),IF(EH20 = EH5, 0, IF(EH20 = "", 0, EU20 + ES20))," ")," ")</f>
        <v xml:space="preserve"> </v>
      </c>
      <c r="EV19" s="60" t="str">
        <f ca="1">IFERROR(IF(ISNUMBER(EI19),ET19 + EU19," ")," ")</f>
        <v xml:space="preserve"> </v>
      </c>
      <c r="EX19" s="16">
        <v>14</v>
      </c>
      <c r="EY19" s="65"/>
      <c r="EZ19" s="60" t="str">
        <f ca="1">IFERROR(MATCH(INDIRECT("EY19"),'1.Locations'!B2:B21, 0) - 1," ")</f>
        <v xml:space="preserve"> </v>
      </c>
      <c r="FA19" s="60" t="e">
        <f ca="1">IFERROR(IF(ISNUMBER(EZ19),INDEX('1.Locations'!D2:D21,EZ19 + 1),NA()),NA())</f>
        <v>#N/A</v>
      </c>
      <c r="FB19" s="60" t="e">
        <f ca="1">IFERROR(IF(ISNUMBER(EZ19),INDEX('1.Locations'!E2:E21,EZ19 + 1),NA()),NA())</f>
        <v>#N/A</v>
      </c>
      <c r="FC19" s="61" t="str">
        <f ca="1">IFERROR(IF(ISNUMBER(EZ19),INDEX('2.Distances'!C2:C401,EZ18*20+EZ19+ 1) +FC18," ")," ")</f>
        <v xml:space="preserve"> </v>
      </c>
      <c r="FD19" s="62" t="str">
        <f ca="1">IFERROR(IF(ISNUMBER(EZ19),'3.Vehicles'!F2 * INDEX('2.Distances'!D2:D401,EZ18*20+EZ19 + 1) +FD18," ")," ")</f>
        <v xml:space="preserve"> </v>
      </c>
      <c r="FE19" s="63" t="str">
        <f ca="1">IFERROR(IF(ISNUMBER(EZ19),'3.Vehicles'!F2 * INDEX('2.Distances'!D2:D401,EZ18*20+EZ19 + 1) +FF18," ")," ")</f>
        <v xml:space="preserve"> </v>
      </c>
      <c r="FF19" s="63" t="str">
        <f ca="1">IFERROR(IF(AND(EZ5&lt;&gt;EZ19,ISNUMBER(FE19)),INDEX('1.Locations'!I2:I21,EZ19 + 1) + MAX(FE19,INDEX('1.Locations'!F2:F21,EZ19 + 1))," ")," ")</f>
        <v xml:space="preserve"> </v>
      </c>
      <c r="FG19" s="62" t="str">
        <f ca="1">IFERROR(IF(AND(EY19 = EY5, EY20 = ""), FE19 - FF5, FF19 - FF5)," ")</f>
        <v xml:space="preserve"> </v>
      </c>
      <c r="FH19" s="60" t="str">
        <f ca="1">IFERROR(IF(ISNUMBER(EZ19),INDEX('1.Locations'!L2:L21,EZ19 + 1) + FH18," ")," ")</f>
        <v xml:space="preserve"> </v>
      </c>
      <c r="FI19" s="61" t="str">
        <f ca="1">IFERROR(IF(ISNUMBER(EZ19),INDEX('1.Locations'!J2:J21,EZ19 + 1)," ")," ")</f>
        <v xml:space="preserve"> </v>
      </c>
      <c r="FJ19" s="61" t="str">
        <f ca="1">IFERROR(IF(ISNUMBER(EZ19),INDEX('1.Locations'!K2:K21,EZ19 + 1)," ")," ")</f>
        <v xml:space="preserve"> </v>
      </c>
      <c r="FK19" s="61" t="str">
        <f ca="1">IFERROR(IF(ISNUMBER(EZ19),IF(EY19 = EY5, 0, FI19 + FK18)," ")," ")</f>
        <v xml:space="preserve"> </v>
      </c>
      <c r="FL19" s="61" t="str">
        <f ca="1">IFERROR(IF(ISNUMBER(EZ19),IF(EY20 = EY5, 0, IF(EY20 = "", 0, FL20 + FJ20))," ")," ")</f>
        <v xml:space="preserve"> </v>
      </c>
      <c r="FM19" s="60" t="str">
        <f ca="1">IFERROR(IF(ISNUMBER(EZ19),FK19 + FL19," ")," ")</f>
        <v xml:space="preserve"> </v>
      </c>
    </row>
    <row r="20" spans="1:169" x14ac:dyDescent="0.3">
      <c r="A20" s="16">
        <v>15</v>
      </c>
      <c r="B20" s="59"/>
      <c r="C20" s="60" t="str">
        <f ca="1">IFERROR(MATCH(INDIRECT("B20"),'1.Locations'!B2:B21, 0) - 1," ")</f>
        <v xml:space="preserve"> </v>
      </c>
      <c r="D20" s="60" t="e">
        <f ca="1">IFERROR(IF(ISNUMBER(C20),INDEX('1.Locations'!D2:D21,C20 + 1),NA()),NA())</f>
        <v>#N/A</v>
      </c>
      <c r="E20" s="60" t="e">
        <f ca="1">IFERROR(IF(ISNUMBER(C20),INDEX('1.Locations'!E2:E21,C20 + 1),NA()),NA())</f>
        <v>#N/A</v>
      </c>
      <c r="F20" s="61" t="str">
        <f ca="1">IFERROR(IF(ISNUMBER(C20),INDEX('2.Distances'!C2:C401,C19*20+C20+ 1) +F19," ")," ")</f>
        <v xml:space="preserve"> </v>
      </c>
      <c r="G20" s="62" t="str">
        <f ca="1">IFERROR(IF(ISNUMBER(C20),'3.Vehicles'!F2 * INDEX('2.Distances'!D2:D401,C19*20+C20 + 1) +G19," ")," ")</f>
        <v xml:space="preserve"> </v>
      </c>
      <c r="H20" s="63" t="str">
        <f ca="1">IFERROR(IF(ISNUMBER(C20),'3.Vehicles'!F2 * INDEX('2.Distances'!D2:D401,C19*20+C20 + 1) +I19," ")," ")</f>
        <v xml:space="preserve"> </v>
      </c>
      <c r="I20" s="63" t="str">
        <f ca="1">IFERROR(IF(AND(C5&lt;&gt;C20,ISNUMBER(H20)),INDEX('1.Locations'!I2:I21,C20 + 1) + MAX(H20,INDEX('1.Locations'!F2:F21,C20 + 1))," ")," ")</f>
        <v xml:space="preserve"> </v>
      </c>
      <c r="J20" s="62" t="str">
        <f ca="1">IFERROR(IF(AND(B20 = B5, B21 = ""), H20 - I5, I20 - I5)," ")</f>
        <v xml:space="preserve"> </v>
      </c>
      <c r="K20" s="60" t="str">
        <f ca="1">IFERROR(IF(ISNUMBER(C20),INDEX('1.Locations'!L2:L21,C20 + 1) + K19," ")," ")</f>
        <v xml:space="preserve"> </v>
      </c>
      <c r="L20" s="61" t="str">
        <f ca="1">IFERROR(IF(ISNUMBER(C20),INDEX('1.Locations'!J2:J21,C20 + 1)," ")," ")</f>
        <v xml:space="preserve"> </v>
      </c>
      <c r="M20" s="61" t="str">
        <f ca="1">IFERROR(IF(ISNUMBER(C20),INDEX('1.Locations'!K2:K21,C20 + 1)," ")," ")</f>
        <v xml:space="preserve"> </v>
      </c>
      <c r="N20" s="61" t="str">
        <f ca="1">IFERROR(IF(ISNUMBER(C20),IF(B20 = B5, 0, L20 + N19)," ")," ")</f>
        <v xml:space="preserve"> </v>
      </c>
      <c r="O20" s="61" t="str">
        <f ca="1">IFERROR(IF(ISNUMBER(C20),IF(B21 = B5, 0, IF(B21 = "", 0, O21 + M21))," ")," ")</f>
        <v xml:space="preserve"> </v>
      </c>
      <c r="P20" s="60" t="str">
        <f ca="1">IFERROR(IF(ISNUMBER(C20),N20 + O20," ")," ")</f>
        <v xml:space="preserve"> </v>
      </c>
      <c r="R20" s="16">
        <v>15</v>
      </c>
      <c r="S20" s="59"/>
      <c r="T20" s="60" t="str">
        <f ca="1">IFERROR(MATCH(INDIRECT("S20"),'1.Locations'!B2:B21, 0) - 1," ")</f>
        <v xml:space="preserve"> </v>
      </c>
      <c r="U20" s="60" t="e">
        <f ca="1">IFERROR(IF(ISNUMBER(T20),INDEX('1.Locations'!D2:D21,T20 + 1),NA()),NA())</f>
        <v>#N/A</v>
      </c>
      <c r="V20" s="60" t="e">
        <f ca="1">IFERROR(IF(ISNUMBER(T20),INDEX('1.Locations'!E2:E21,T20 + 1),NA()),NA())</f>
        <v>#N/A</v>
      </c>
      <c r="W20" s="61" t="str">
        <f ca="1">IFERROR(IF(ISNUMBER(T20),INDEX('2.Distances'!C2:C401,T19*20+T20+ 1) +W19," ")," ")</f>
        <v xml:space="preserve"> </v>
      </c>
      <c r="X20" s="62" t="str">
        <f ca="1">IFERROR(IF(ISNUMBER(T20),'3.Vehicles'!F2 * INDEX('2.Distances'!D2:D401,T19*20+T20 + 1) +X19," ")," ")</f>
        <v xml:space="preserve"> </v>
      </c>
      <c r="Y20" s="63" t="str">
        <f ca="1">IFERROR(IF(ISNUMBER(T20),'3.Vehicles'!F2 * INDEX('2.Distances'!D2:D401,T19*20+T20 + 1) +Z19," ")," ")</f>
        <v xml:space="preserve"> </v>
      </c>
      <c r="Z20" s="63" t="str">
        <f ca="1">IFERROR(IF(AND(T5&lt;&gt;T20,ISNUMBER(Y20)),INDEX('1.Locations'!I2:I21,T20 + 1) + MAX(Y20,INDEX('1.Locations'!F2:F21,T20 + 1))," ")," ")</f>
        <v xml:space="preserve"> </v>
      </c>
      <c r="AA20" s="62" t="str">
        <f ca="1">IFERROR(IF(AND(S20 = S5, S21 = ""), Y20 - Z5, Z20 - Z5)," ")</f>
        <v xml:space="preserve"> </v>
      </c>
      <c r="AB20" s="60" t="str">
        <f ca="1">IFERROR(IF(ISNUMBER(T20),INDEX('1.Locations'!L2:L21,T20 + 1) + AB19," ")," ")</f>
        <v xml:space="preserve"> </v>
      </c>
      <c r="AC20" s="61" t="str">
        <f ca="1">IFERROR(IF(ISNUMBER(T20),INDEX('1.Locations'!J2:J21,T20 + 1)," ")," ")</f>
        <v xml:space="preserve"> </v>
      </c>
      <c r="AD20" s="61" t="str">
        <f ca="1">IFERROR(IF(ISNUMBER(T20),INDEX('1.Locations'!K2:K21,T20 + 1)," ")," ")</f>
        <v xml:space="preserve"> </v>
      </c>
      <c r="AE20" s="61" t="str">
        <f ca="1">IFERROR(IF(ISNUMBER(T20),IF(S20 = S5, 0, AC20 + AE19)," ")," ")</f>
        <v xml:space="preserve"> </v>
      </c>
      <c r="AF20" s="61" t="str">
        <f ca="1">IFERROR(IF(ISNUMBER(T20),IF(S21 = S5, 0, IF(S21 = "", 0, AF21 + AD21))," ")," ")</f>
        <v xml:space="preserve"> </v>
      </c>
      <c r="AG20" s="60" t="str">
        <f ca="1">IFERROR(IF(ISNUMBER(T20),AE20 + AF20," ")," ")</f>
        <v xml:space="preserve"> </v>
      </c>
      <c r="AI20" s="16">
        <v>15</v>
      </c>
      <c r="AJ20" s="59"/>
      <c r="AK20" s="60" t="str">
        <f ca="1">IFERROR(MATCH(INDIRECT("AJ20"),'1.Locations'!B2:B21, 0) - 1," ")</f>
        <v xml:space="preserve"> </v>
      </c>
      <c r="AL20" s="60" t="e">
        <f ca="1">IFERROR(IF(ISNUMBER(AK20),INDEX('1.Locations'!D2:D21,AK20 + 1),NA()),NA())</f>
        <v>#N/A</v>
      </c>
      <c r="AM20" s="60" t="e">
        <f ca="1">IFERROR(IF(ISNUMBER(AK20),INDEX('1.Locations'!E2:E21,AK20 + 1),NA()),NA())</f>
        <v>#N/A</v>
      </c>
      <c r="AN20" s="61" t="str">
        <f ca="1">IFERROR(IF(ISNUMBER(AK20),INDEX('2.Distances'!C2:C401,AK19*20+AK20+ 1) +AN19," ")," ")</f>
        <v xml:space="preserve"> </v>
      </c>
      <c r="AO20" s="62" t="str">
        <f ca="1">IFERROR(IF(ISNUMBER(AK20),'3.Vehicles'!F2 * INDEX('2.Distances'!D2:D401,AK19*20+AK20 + 1) +AO19," ")," ")</f>
        <v xml:space="preserve"> </v>
      </c>
      <c r="AP20" s="63" t="str">
        <f ca="1">IFERROR(IF(ISNUMBER(AK20),'3.Vehicles'!F2 * INDEX('2.Distances'!D2:D401,AK19*20+AK20 + 1) +AQ19," ")," ")</f>
        <v xml:space="preserve"> </v>
      </c>
      <c r="AQ20" s="63" t="str">
        <f ca="1">IFERROR(IF(AND(AK5&lt;&gt;AK20,ISNUMBER(AP20)),INDEX('1.Locations'!I2:I21,AK20 + 1) + MAX(AP20,INDEX('1.Locations'!F2:F21,AK20 + 1))," ")," ")</f>
        <v xml:space="preserve"> </v>
      </c>
      <c r="AR20" s="62" t="str">
        <f ca="1">IFERROR(IF(AND(AJ20 = AJ5, AJ21 = ""), AP20 - AQ5, AQ20 - AQ5)," ")</f>
        <v xml:space="preserve"> </v>
      </c>
      <c r="AS20" s="60" t="str">
        <f ca="1">IFERROR(IF(ISNUMBER(AK20),INDEX('1.Locations'!L2:L21,AK20 + 1) + AS19," ")," ")</f>
        <v xml:space="preserve"> </v>
      </c>
      <c r="AT20" s="61" t="str">
        <f ca="1">IFERROR(IF(ISNUMBER(AK20),INDEX('1.Locations'!J2:J21,AK20 + 1)," ")," ")</f>
        <v xml:space="preserve"> </v>
      </c>
      <c r="AU20" s="61" t="str">
        <f ca="1">IFERROR(IF(ISNUMBER(AK20),INDEX('1.Locations'!K2:K21,AK20 + 1)," ")," ")</f>
        <v xml:space="preserve"> </v>
      </c>
      <c r="AV20" s="61" t="str">
        <f ca="1">IFERROR(IF(ISNUMBER(AK20),IF(AJ20 = AJ5, 0, AT20 + AV19)," ")," ")</f>
        <v xml:space="preserve"> </v>
      </c>
      <c r="AW20" s="61" t="str">
        <f ca="1">IFERROR(IF(ISNUMBER(AK20),IF(AJ21 = AJ5, 0, IF(AJ21 = "", 0, AW21 + AU21))," ")," ")</f>
        <v xml:space="preserve"> </v>
      </c>
      <c r="AX20" s="60" t="str">
        <f ca="1">IFERROR(IF(ISNUMBER(AK20),AV20 + AW20," ")," ")</f>
        <v xml:space="preserve"> </v>
      </c>
      <c r="AZ20" s="16">
        <v>15</v>
      </c>
      <c r="BA20" s="59"/>
      <c r="BB20" s="60" t="str">
        <f ca="1">IFERROR(MATCH(INDIRECT("BA20"),'1.Locations'!B2:B21, 0) - 1," ")</f>
        <v xml:space="preserve"> </v>
      </c>
      <c r="BC20" s="60" t="e">
        <f ca="1">IFERROR(IF(ISNUMBER(BB20),INDEX('1.Locations'!D2:D21,BB20 + 1),NA()),NA())</f>
        <v>#N/A</v>
      </c>
      <c r="BD20" s="60" t="e">
        <f ca="1">IFERROR(IF(ISNUMBER(BB20),INDEX('1.Locations'!E2:E21,BB20 + 1),NA()),NA())</f>
        <v>#N/A</v>
      </c>
      <c r="BE20" s="61" t="str">
        <f ca="1">IFERROR(IF(ISNUMBER(BB20),INDEX('2.Distances'!C2:C401,BB19*20+BB20+ 1) +BE19," ")," ")</f>
        <v xml:space="preserve"> </v>
      </c>
      <c r="BF20" s="62" t="str">
        <f ca="1">IFERROR(IF(ISNUMBER(BB20),'3.Vehicles'!F2 * INDEX('2.Distances'!D2:D401,BB19*20+BB20 + 1) +BF19," ")," ")</f>
        <v xml:space="preserve"> </v>
      </c>
      <c r="BG20" s="63" t="str">
        <f ca="1">IFERROR(IF(ISNUMBER(BB20),'3.Vehicles'!F2 * INDEX('2.Distances'!D2:D401,BB19*20+BB20 + 1) +BH19," ")," ")</f>
        <v xml:space="preserve"> </v>
      </c>
      <c r="BH20" s="63" t="str">
        <f ca="1">IFERROR(IF(AND(BB5&lt;&gt;BB20,ISNUMBER(BG20)),INDEX('1.Locations'!I2:I21,BB20 + 1) + MAX(BG20,INDEX('1.Locations'!F2:F21,BB20 + 1))," ")," ")</f>
        <v xml:space="preserve"> </v>
      </c>
      <c r="BI20" s="62" t="str">
        <f ca="1">IFERROR(IF(AND(BA20 = BA5, BA21 = ""), BG20 - BH5, BH20 - BH5)," ")</f>
        <v xml:space="preserve"> </v>
      </c>
      <c r="BJ20" s="60" t="str">
        <f ca="1">IFERROR(IF(ISNUMBER(BB20),INDEX('1.Locations'!L2:L21,BB20 + 1) + BJ19," ")," ")</f>
        <v xml:space="preserve"> </v>
      </c>
      <c r="BK20" s="61" t="str">
        <f ca="1">IFERROR(IF(ISNUMBER(BB20),INDEX('1.Locations'!J2:J21,BB20 + 1)," ")," ")</f>
        <v xml:space="preserve"> </v>
      </c>
      <c r="BL20" s="61" t="str">
        <f ca="1">IFERROR(IF(ISNUMBER(BB20),INDEX('1.Locations'!K2:K21,BB20 + 1)," ")," ")</f>
        <v xml:space="preserve"> </v>
      </c>
      <c r="BM20" s="61" t="str">
        <f ca="1">IFERROR(IF(ISNUMBER(BB20),IF(BA20 = BA5, 0, BK20 + BM19)," ")," ")</f>
        <v xml:space="preserve"> </v>
      </c>
      <c r="BN20" s="61" t="str">
        <f ca="1">IFERROR(IF(ISNUMBER(BB20),IF(BA21 = BA5, 0, IF(BA21 = "", 0, BN21 + BL21))," ")," ")</f>
        <v xml:space="preserve"> </v>
      </c>
      <c r="BO20" s="60" t="str">
        <f ca="1">IFERROR(IF(ISNUMBER(BB20),BM20 + BN20," ")," ")</f>
        <v xml:space="preserve"> </v>
      </c>
      <c r="BQ20" s="16">
        <v>15</v>
      </c>
      <c r="BR20" s="59"/>
      <c r="BS20" s="60" t="str">
        <f ca="1">IFERROR(MATCH(INDIRECT("BR20"),'1.Locations'!B2:B21, 0) - 1," ")</f>
        <v xml:space="preserve"> </v>
      </c>
      <c r="BT20" s="60" t="e">
        <f ca="1">IFERROR(IF(ISNUMBER(BS20),INDEX('1.Locations'!D2:D21,BS20 + 1),NA()),NA())</f>
        <v>#N/A</v>
      </c>
      <c r="BU20" s="60" t="e">
        <f ca="1">IFERROR(IF(ISNUMBER(BS20),INDEX('1.Locations'!E2:E21,BS20 + 1),NA()),NA())</f>
        <v>#N/A</v>
      </c>
      <c r="BV20" s="61" t="str">
        <f ca="1">IFERROR(IF(ISNUMBER(BS20),INDEX('2.Distances'!C2:C401,BS19*20+BS20+ 1) +BV19," ")," ")</f>
        <v xml:space="preserve"> </v>
      </c>
      <c r="BW20" s="62" t="str">
        <f ca="1">IFERROR(IF(ISNUMBER(BS20),'3.Vehicles'!F2 * INDEX('2.Distances'!D2:D401,BS19*20+BS20 + 1) +BW19," ")," ")</f>
        <v xml:space="preserve"> </v>
      </c>
      <c r="BX20" s="63" t="str">
        <f ca="1">IFERROR(IF(ISNUMBER(BS20),'3.Vehicles'!F2 * INDEX('2.Distances'!D2:D401,BS19*20+BS20 + 1) +BY19," ")," ")</f>
        <v xml:space="preserve"> </v>
      </c>
      <c r="BY20" s="63" t="str">
        <f ca="1">IFERROR(IF(AND(BS5&lt;&gt;BS20,ISNUMBER(BX20)),INDEX('1.Locations'!I2:I21,BS20 + 1) + MAX(BX20,INDEX('1.Locations'!F2:F21,BS20 + 1))," ")," ")</f>
        <v xml:space="preserve"> </v>
      </c>
      <c r="BZ20" s="62" t="str">
        <f ca="1">IFERROR(IF(AND(BR20 = BR5, BR21 = ""), BX20 - BY5, BY20 - BY5)," ")</f>
        <v xml:space="preserve"> </v>
      </c>
      <c r="CA20" s="60" t="str">
        <f ca="1">IFERROR(IF(ISNUMBER(BS20),INDEX('1.Locations'!L2:L21,BS20 + 1) + CA19," ")," ")</f>
        <v xml:space="preserve"> </v>
      </c>
      <c r="CB20" s="61" t="str">
        <f ca="1">IFERROR(IF(ISNUMBER(BS20),INDEX('1.Locations'!J2:J21,BS20 + 1)," ")," ")</f>
        <v xml:space="preserve"> </v>
      </c>
      <c r="CC20" s="61" t="str">
        <f ca="1">IFERROR(IF(ISNUMBER(BS20),INDEX('1.Locations'!K2:K21,BS20 + 1)," ")," ")</f>
        <v xml:space="preserve"> </v>
      </c>
      <c r="CD20" s="61" t="str">
        <f ca="1">IFERROR(IF(ISNUMBER(BS20),IF(BR20 = BR5, 0, CB20 + CD19)," ")," ")</f>
        <v xml:space="preserve"> </v>
      </c>
      <c r="CE20" s="61" t="str">
        <f ca="1">IFERROR(IF(ISNUMBER(BS20),IF(BR21 = BR5, 0, IF(BR21 = "", 0, CE21 + CC21))," ")," ")</f>
        <v xml:space="preserve"> </v>
      </c>
      <c r="CF20" s="60" t="str">
        <f ca="1">IFERROR(IF(ISNUMBER(BS20),CD20 + CE20," ")," ")</f>
        <v xml:space="preserve"> </v>
      </c>
      <c r="CH20" s="16">
        <v>15</v>
      </c>
      <c r="CI20" s="59"/>
      <c r="CJ20" s="60" t="str">
        <f ca="1">IFERROR(MATCH(INDIRECT("CI20"),'1.Locations'!B2:B21, 0) - 1," ")</f>
        <v xml:space="preserve"> </v>
      </c>
      <c r="CK20" s="60" t="e">
        <f ca="1">IFERROR(IF(ISNUMBER(CJ20),INDEX('1.Locations'!D2:D21,CJ20 + 1),NA()),NA())</f>
        <v>#N/A</v>
      </c>
      <c r="CL20" s="60" t="e">
        <f ca="1">IFERROR(IF(ISNUMBER(CJ20),INDEX('1.Locations'!E2:E21,CJ20 + 1),NA()),NA())</f>
        <v>#N/A</v>
      </c>
      <c r="CM20" s="61" t="str">
        <f ca="1">IFERROR(IF(ISNUMBER(CJ20),INDEX('2.Distances'!C2:C401,CJ19*20+CJ20+ 1) +CM19," ")," ")</f>
        <v xml:space="preserve"> </v>
      </c>
      <c r="CN20" s="62" t="str">
        <f ca="1">IFERROR(IF(ISNUMBER(CJ20),'3.Vehicles'!F2 * INDEX('2.Distances'!D2:D401,CJ19*20+CJ20 + 1) +CN19," ")," ")</f>
        <v xml:space="preserve"> </v>
      </c>
      <c r="CO20" s="63" t="str">
        <f ca="1">IFERROR(IF(ISNUMBER(CJ20),'3.Vehicles'!F2 * INDEX('2.Distances'!D2:D401,CJ19*20+CJ20 + 1) +CP19," ")," ")</f>
        <v xml:space="preserve"> </v>
      </c>
      <c r="CP20" s="63" t="str">
        <f ca="1">IFERROR(IF(AND(CJ5&lt;&gt;CJ20,ISNUMBER(CO20)),INDEX('1.Locations'!I2:I21,CJ20 + 1) + MAX(CO20,INDEX('1.Locations'!F2:F21,CJ20 + 1))," ")," ")</f>
        <v xml:space="preserve"> </v>
      </c>
      <c r="CQ20" s="62" t="str">
        <f ca="1">IFERROR(IF(AND(CI20 = CI5, CI21 = ""), CO20 - CP5, CP20 - CP5)," ")</f>
        <v xml:space="preserve"> </v>
      </c>
      <c r="CR20" s="60" t="str">
        <f ca="1">IFERROR(IF(ISNUMBER(CJ20),INDEX('1.Locations'!L2:L21,CJ20 + 1) + CR19," ")," ")</f>
        <v xml:space="preserve"> </v>
      </c>
      <c r="CS20" s="61" t="str">
        <f ca="1">IFERROR(IF(ISNUMBER(CJ20),INDEX('1.Locations'!J2:J21,CJ20 + 1)," ")," ")</f>
        <v xml:space="preserve"> </v>
      </c>
      <c r="CT20" s="61" t="str">
        <f ca="1">IFERROR(IF(ISNUMBER(CJ20),INDEX('1.Locations'!K2:K21,CJ20 + 1)," ")," ")</f>
        <v xml:space="preserve"> </v>
      </c>
      <c r="CU20" s="61" t="str">
        <f ca="1">IFERROR(IF(ISNUMBER(CJ20),IF(CI20 = CI5, 0, CS20 + CU19)," ")," ")</f>
        <v xml:space="preserve"> </v>
      </c>
      <c r="CV20" s="61" t="str">
        <f ca="1">IFERROR(IF(ISNUMBER(CJ20),IF(CI21 = CI5, 0, IF(CI21 = "", 0, CV21 + CT21))," ")," ")</f>
        <v xml:space="preserve"> </v>
      </c>
      <c r="CW20" s="60" t="str">
        <f ca="1">IFERROR(IF(ISNUMBER(CJ20),CU20 + CV20," ")," ")</f>
        <v xml:space="preserve"> </v>
      </c>
      <c r="CY20" s="16">
        <v>15</v>
      </c>
      <c r="CZ20" s="59"/>
      <c r="DA20" s="60" t="str">
        <f ca="1">IFERROR(MATCH(INDIRECT("CZ20"),'1.Locations'!B2:B21, 0) - 1," ")</f>
        <v xml:space="preserve"> </v>
      </c>
      <c r="DB20" s="60" t="e">
        <f ca="1">IFERROR(IF(ISNUMBER(DA20),INDEX('1.Locations'!D2:D21,DA20 + 1),NA()),NA())</f>
        <v>#N/A</v>
      </c>
      <c r="DC20" s="60" t="e">
        <f ca="1">IFERROR(IF(ISNUMBER(DA20),INDEX('1.Locations'!E2:E21,DA20 + 1),NA()),NA())</f>
        <v>#N/A</v>
      </c>
      <c r="DD20" s="61" t="str">
        <f ca="1">IFERROR(IF(ISNUMBER(DA20),INDEX('2.Distances'!C2:C401,DA19*20+DA20+ 1) +DD19," ")," ")</f>
        <v xml:space="preserve"> </v>
      </c>
      <c r="DE20" s="62" t="str">
        <f ca="1">IFERROR(IF(ISNUMBER(DA20),'3.Vehicles'!F2 * INDEX('2.Distances'!D2:D401,DA19*20+DA20 + 1) +DE19," ")," ")</f>
        <v xml:space="preserve"> </v>
      </c>
      <c r="DF20" s="63" t="str">
        <f ca="1">IFERROR(IF(ISNUMBER(DA20),'3.Vehicles'!F2 * INDEX('2.Distances'!D2:D401,DA19*20+DA20 + 1) +DG19," ")," ")</f>
        <v xml:space="preserve"> </v>
      </c>
      <c r="DG20" s="63" t="str">
        <f ca="1">IFERROR(IF(AND(DA5&lt;&gt;DA20,ISNUMBER(DF20)),INDEX('1.Locations'!I2:I21,DA20 + 1) + MAX(DF20,INDEX('1.Locations'!F2:F21,DA20 + 1))," ")," ")</f>
        <v xml:space="preserve"> </v>
      </c>
      <c r="DH20" s="62" t="str">
        <f ca="1">IFERROR(IF(AND(CZ20 = CZ5, CZ21 = ""), DF20 - DG5, DG20 - DG5)," ")</f>
        <v xml:space="preserve"> </v>
      </c>
      <c r="DI20" s="60" t="str">
        <f ca="1">IFERROR(IF(ISNUMBER(DA20),INDEX('1.Locations'!L2:L21,DA20 + 1) + DI19," ")," ")</f>
        <v xml:space="preserve"> </v>
      </c>
      <c r="DJ20" s="61" t="str">
        <f ca="1">IFERROR(IF(ISNUMBER(DA20),INDEX('1.Locations'!J2:J21,DA20 + 1)," ")," ")</f>
        <v xml:space="preserve"> </v>
      </c>
      <c r="DK20" s="61" t="str">
        <f ca="1">IFERROR(IF(ISNUMBER(DA20),INDEX('1.Locations'!K2:K21,DA20 + 1)," ")," ")</f>
        <v xml:space="preserve"> </v>
      </c>
      <c r="DL20" s="61" t="str">
        <f ca="1">IFERROR(IF(ISNUMBER(DA20),IF(CZ20 = CZ5, 0, DJ20 + DL19)," ")," ")</f>
        <v xml:space="preserve"> </v>
      </c>
      <c r="DM20" s="61" t="str">
        <f ca="1">IFERROR(IF(ISNUMBER(DA20),IF(CZ21 = CZ5, 0, IF(CZ21 = "", 0, DM21 + DK21))," ")," ")</f>
        <v xml:space="preserve"> </v>
      </c>
      <c r="DN20" s="60" t="str">
        <f ca="1">IFERROR(IF(ISNUMBER(DA20),DL20 + DM20," ")," ")</f>
        <v xml:space="preserve"> </v>
      </c>
      <c r="DP20" s="16">
        <v>15</v>
      </c>
      <c r="DQ20" s="59"/>
      <c r="DR20" s="60" t="str">
        <f ca="1">IFERROR(MATCH(INDIRECT("DQ20"),'1.Locations'!B2:B21, 0) - 1," ")</f>
        <v xml:space="preserve"> </v>
      </c>
      <c r="DS20" s="60" t="e">
        <f ca="1">IFERROR(IF(ISNUMBER(DR20),INDEX('1.Locations'!D2:D21,DR20 + 1),NA()),NA())</f>
        <v>#N/A</v>
      </c>
      <c r="DT20" s="60" t="e">
        <f ca="1">IFERROR(IF(ISNUMBER(DR20),INDEX('1.Locations'!E2:E21,DR20 + 1),NA()),NA())</f>
        <v>#N/A</v>
      </c>
      <c r="DU20" s="61" t="str">
        <f ca="1">IFERROR(IF(ISNUMBER(DR20),INDEX('2.Distances'!C2:C401,DR19*20+DR20+ 1) +DU19," ")," ")</f>
        <v xml:space="preserve"> </v>
      </c>
      <c r="DV20" s="62" t="str">
        <f ca="1">IFERROR(IF(ISNUMBER(DR20),'3.Vehicles'!F2 * INDEX('2.Distances'!D2:D401,DR19*20+DR20 + 1) +DV19," ")," ")</f>
        <v xml:space="preserve"> </v>
      </c>
      <c r="DW20" s="63" t="str">
        <f ca="1">IFERROR(IF(ISNUMBER(DR20),'3.Vehicles'!F2 * INDEX('2.Distances'!D2:D401,DR19*20+DR20 + 1) +DX19," ")," ")</f>
        <v xml:space="preserve"> </v>
      </c>
      <c r="DX20" s="63" t="str">
        <f ca="1">IFERROR(IF(AND(DR5&lt;&gt;DR20,ISNUMBER(DW20)),INDEX('1.Locations'!I2:I21,DR20 + 1) + MAX(DW20,INDEX('1.Locations'!F2:F21,DR20 + 1))," ")," ")</f>
        <v xml:space="preserve"> </v>
      </c>
      <c r="DY20" s="62" t="str">
        <f ca="1">IFERROR(IF(AND(DQ20 = DQ5, DQ21 = ""), DW20 - DX5, DX20 - DX5)," ")</f>
        <v xml:space="preserve"> </v>
      </c>
      <c r="DZ20" s="60" t="str">
        <f ca="1">IFERROR(IF(ISNUMBER(DR20),INDEX('1.Locations'!L2:L21,DR20 + 1) + DZ19," ")," ")</f>
        <v xml:space="preserve"> </v>
      </c>
      <c r="EA20" s="61" t="str">
        <f ca="1">IFERROR(IF(ISNUMBER(DR20),INDEX('1.Locations'!J2:J21,DR20 + 1)," ")," ")</f>
        <v xml:space="preserve"> </v>
      </c>
      <c r="EB20" s="61" t="str">
        <f ca="1">IFERROR(IF(ISNUMBER(DR20),INDEX('1.Locations'!K2:K21,DR20 + 1)," ")," ")</f>
        <v xml:space="preserve"> </v>
      </c>
      <c r="EC20" s="61" t="str">
        <f ca="1">IFERROR(IF(ISNUMBER(DR20),IF(DQ20 = DQ5, 0, EA20 + EC19)," ")," ")</f>
        <v xml:space="preserve"> </v>
      </c>
      <c r="ED20" s="61" t="str">
        <f ca="1">IFERROR(IF(ISNUMBER(DR20),IF(DQ21 = DQ5, 0, IF(DQ21 = "", 0, ED21 + EB21))," ")," ")</f>
        <v xml:space="preserve"> </v>
      </c>
      <c r="EE20" s="60" t="str">
        <f ca="1">IFERROR(IF(ISNUMBER(DR20),EC20 + ED20," ")," ")</f>
        <v xml:space="preserve"> </v>
      </c>
      <c r="EG20" s="16">
        <v>15</v>
      </c>
      <c r="EH20" s="59"/>
      <c r="EI20" s="60" t="str">
        <f ca="1">IFERROR(MATCH(INDIRECT("EH20"),'1.Locations'!B2:B21, 0) - 1," ")</f>
        <v xml:space="preserve"> </v>
      </c>
      <c r="EJ20" s="60" t="e">
        <f ca="1">IFERROR(IF(ISNUMBER(EI20),INDEX('1.Locations'!D2:D21,EI20 + 1),NA()),NA())</f>
        <v>#N/A</v>
      </c>
      <c r="EK20" s="60" t="e">
        <f ca="1">IFERROR(IF(ISNUMBER(EI20),INDEX('1.Locations'!E2:E21,EI20 + 1),NA()),NA())</f>
        <v>#N/A</v>
      </c>
      <c r="EL20" s="61" t="str">
        <f ca="1">IFERROR(IF(ISNUMBER(EI20),INDEX('2.Distances'!C2:C401,EI19*20+EI20+ 1) +EL19," ")," ")</f>
        <v xml:space="preserve"> </v>
      </c>
      <c r="EM20" s="62" t="str">
        <f ca="1">IFERROR(IF(ISNUMBER(EI20),'3.Vehicles'!F2 * INDEX('2.Distances'!D2:D401,EI19*20+EI20 + 1) +EM19," ")," ")</f>
        <v xml:space="preserve"> </v>
      </c>
      <c r="EN20" s="63" t="str">
        <f ca="1">IFERROR(IF(ISNUMBER(EI20),'3.Vehicles'!F2 * INDEX('2.Distances'!D2:D401,EI19*20+EI20 + 1) +EO19," ")," ")</f>
        <v xml:space="preserve"> </v>
      </c>
      <c r="EO20" s="63" t="str">
        <f ca="1">IFERROR(IF(AND(EI5&lt;&gt;EI20,ISNUMBER(EN20)),INDEX('1.Locations'!I2:I21,EI20 + 1) + MAX(EN20,INDEX('1.Locations'!F2:F21,EI20 + 1))," ")," ")</f>
        <v xml:space="preserve"> </v>
      </c>
      <c r="EP20" s="62" t="str">
        <f ca="1">IFERROR(IF(AND(EH20 = EH5, EH21 = ""), EN20 - EO5, EO20 - EO5)," ")</f>
        <v xml:space="preserve"> </v>
      </c>
      <c r="EQ20" s="60" t="str">
        <f ca="1">IFERROR(IF(ISNUMBER(EI20),INDEX('1.Locations'!L2:L21,EI20 + 1) + EQ19," ")," ")</f>
        <v xml:space="preserve"> </v>
      </c>
      <c r="ER20" s="61" t="str">
        <f ca="1">IFERROR(IF(ISNUMBER(EI20),INDEX('1.Locations'!J2:J21,EI20 + 1)," ")," ")</f>
        <v xml:space="preserve"> </v>
      </c>
      <c r="ES20" s="61" t="str">
        <f ca="1">IFERROR(IF(ISNUMBER(EI20),INDEX('1.Locations'!K2:K21,EI20 + 1)," ")," ")</f>
        <v xml:space="preserve"> </v>
      </c>
      <c r="ET20" s="61" t="str">
        <f ca="1">IFERROR(IF(ISNUMBER(EI20),IF(EH20 = EH5, 0, ER20 + ET19)," ")," ")</f>
        <v xml:space="preserve"> </v>
      </c>
      <c r="EU20" s="61" t="str">
        <f ca="1">IFERROR(IF(ISNUMBER(EI20),IF(EH21 = EH5, 0, IF(EH21 = "", 0, EU21 + ES21))," ")," ")</f>
        <v xml:space="preserve"> </v>
      </c>
      <c r="EV20" s="60" t="str">
        <f ca="1">IFERROR(IF(ISNUMBER(EI20),ET20 + EU20," ")," ")</f>
        <v xml:space="preserve"> </v>
      </c>
      <c r="EX20" s="16">
        <v>15</v>
      </c>
      <c r="EY20" s="59"/>
      <c r="EZ20" s="60" t="str">
        <f ca="1">IFERROR(MATCH(INDIRECT("EY20"),'1.Locations'!B2:B21, 0) - 1," ")</f>
        <v xml:space="preserve"> </v>
      </c>
      <c r="FA20" s="60" t="e">
        <f ca="1">IFERROR(IF(ISNUMBER(EZ20),INDEX('1.Locations'!D2:D21,EZ20 + 1),NA()),NA())</f>
        <v>#N/A</v>
      </c>
      <c r="FB20" s="60" t="e">
        <f ca="1">IFERROR(IF(ISNUMBER(EZ20),INDEX('1.Locations'!E2:E21,EZ20 + 1),NA()),NA())</f>
        <v>#N/A</v>
      </c>
      <c r="FC20" s="61" t="str">
        <f ca="1">IFERROR(IF(ISNUMBER(EZ20),INDEX('2.Distances'!C2:C401,EZ19*20+EZ20+ 1) +FC19," ")," ")</f>
        <v xml:space="preserve"> </v>
      </c>
      <c r="FD20" s="62" t="str">
        <f ca="1">IFERROR(IF(ISNUMBER(EZ20),'3.Vehicles'!F2 * INDEX('2.Distances'!D2:D401,EZ19*20+EZ20 + 1) +FD19," ")," ")</f>
        <v xml:space="preserve"> </v>
      </c>
      <c r="FE20" s="63" t="str">
        <f ca="1">IFERROR(IF(ISNUMBER(EZ20),'3.Vehicles'!F2 * INDEX('2.Distances'!D2:D401,EZ19*20+EZ20 + 1) +FF19," ")," ")</f>
        <v xml:space="preserve"> </v>
      </c>
      <c r="FF20" s="63" t="str">
        <f ca="1">IFERROR(IF(AND(EZ5&lt;&gt;EZ20,ISNUMBER(FE20)),INDEX('1.Locations'!I2:I21,EZ20 + 1) + MAX(FE20,INDEX('1.Locations'!F2:F21,EZ20 + 1))," ")," ")</f>
        <v xml:space="preserve"> </v>
      </c>
      <c r="FG20" s="62" t="str">
        <f ca="1">IFERROR(IF(AND(EY20 = EY5, EY21 = ""), FE20 - FF5, FF20 - FF5)," ")</f>
        <v xml:space="preserve"> </v>
      </c>
      <c r="FH20" s="60" t="str">
        <f ca="1">IFERROR(IF(ISNUMBER(EZ20),INDEX('1.Locations'!L2:L21,EZ20 + 1) + FH19," ")," ")</f>
        <v xml:space="preserve"> </v>
      </c>
      <c r="FI20" s="61" t="str">
        <f ca="1">IFERROR(IF(ISNUMBER(EZ20),INDEX('1.Locations'!J2:J21,EZ20 + 1)," ")," ")</f>
        <v xml:space="preserve"> </v>
      </c>
      <c r="FJ20" s="61" t="str">
        <f ca="1">IFERROR(IF(ISNUMBER(EZ20),INDEX('1.Locations'!K2:K21,EZ20 + 1)," ")," ")</f>
        <v xml:space="preserve"> </v>
      </c>
      <c r="FK20" s="61" t="str">
        <f ca="1">IFERROR(IF(ISNUMBER(EZ20),IF(EY20 = EY5, 0, FI20 + FK19)," ")," ")</f>
        <v xml:space="preserve"> </v>
      </c>
      <c r="FL20" s="61" t="str">
        <f ca="1">IFERROR(IF(ISNUMBER(EZ20),IF(EY21 = EY5, 0, IF(EY21 = "", 0, FL21 + FJ21))," ")," ")</f>
        <v xml:space="preserve"> </v>
      </c>
      <c r="FM20" s="60" t="str">
        <f ca="1">IFERROR(IF(ISNUMBER(EZ20),FK20 + FL20," ")," ")</f>
        <v xml:space="preserve"> </v>
      </c>
    </row>
    <row r="21" spans="1:169" x14ac:dyDescent="0.3">
      <c r="A21" s="16">
        <v>16</v>
      </c>
      <c r="B21" s="65"/>
      <c r="C21" s="60" t="str">
        <f ca="1">IFERROR(MATCH(INDIRECT("B21"),'1.Locations'!B2:B21, 0) - 1," ")</f>
        <v xml:space="preserve"> </v>
      </c>
      <c r="D21" s="60" t="e">
        <f ca="1">IFERROR(IF(ISNUMBER(C21),INDEX('1.Locations'!D2:D21,C21 + 1),NA()),NA())</f>
        <v>#N/A</v>
      </c>
      <c r="E21" s="60" t="e">
        <f ca="1">IFERROR(IF(ISNUMBER(C21),INDEX('1.Locations'!E2:E21,C21 + 1),NA()),NA())</f>
        <v>#N/A</v>
      </c>
      <c r="F21" s="61" t="str">
        <f ca="1">IFERROR(IF(ISNUMBER(C21),INDEX('2.Distances'!C2:C401,C20*20+C21+ 1) +F20," ")," ")</f>
        <v xml:space="preserve"> </v>
      </c>
      <c r="G21" s="62" t="str">
        <f ca="1">IFERROR(IF(ISNUMBER(C21),'3.Vehicles'!F2 * INDEX('2.Distances'!D2:D401,C20*20+C21 + 1) +G20," ")," ")</f>
        <v xml:space="preserve"> </v>
      </c>
      <c r="H21" s="63" t="str">
        <f ca="1">IFERROR(IF(ISNUMBER(C21),'3.Vehicles'!F2 * INDEX('2.Distances'!D2:D401,C20*20+C21 + 1) +I20," ")," ")</f>
        <v xml:space="preserve"> </v>
      </c>
      <c r="I21" s="63" t="str">
        <f ca="1">IFERROR(IF(AND(C5&lt;&gt;C21,ISNUMBER(H21)),INDEX('1.Locations'!I2:I21,C21 + 1) + MAX(H21,INDEX('1.Locations'!F2:F21,C21 + 1))," ")," ")</f>
        <v xml:space="preserve"> </v>
      </c>
      <c r="J21" s="62" t="str">
        <f ca="1">IFERROR(IF(AND(B21 = B5, B22 = ""), H21 - I5, I21 - I5)," ")</f>
        <v xml:space="preserve"> </v>
      </c>
      <c r="K21" s="60" t="str">
        <f ca="1">IFERROR(IF(ISNUMBER(C21),INDEX('1.Locations'!L2:L21,C21 + 1) + K20," ")," ")</f>
        <v xml:space="preserve"> </v>
      </c>
      <c r="L21" s="61" t="str">
        <f ca="1">IFERROR(IF(ISNUMBER(C21),INDEX('1.Locations'!J2:J21,C21 + 1)," ")," ")</f>
        <v xml:space="preserve"> </v>
      </c>
      <c r="M21" s="61" t="str">
        <f ca="1">IFERROR(IF(ISNUMBER(C21),INDEX('1.Locations'!K2:K21,C21 + 1)," ")," ")</f>
        <v xml:space="preserve"> </v>
      </c>
      <c r="N21" s="61" t="str">
        <f ca="1">IFERROR(IF(ISNUMBER(C21),IF(B21 = B5, 0, L21 + N20)," ")," ")</f>
        <v xml:space="preserve"> </v>
      </c>
      <c r="O21" s="61" t="str">
        <f ca="1">IFERROR(IF(ISNUMBER(C21),IF(B22 = B5, 0, IF(B22 = "", 0, O22 + M22))," ")," ")</f>
        <v xml:space="preserve"> </v>
      </c>
      <c r="P21" s="60" t="str">
        <f ca="1">IFERROR(IF(ISNUMBER(C21),N21 + O21," ")," ")</f>
        <v xml:space="preserve"> </v>
      </c>
      <c r="R21" s="16">
        <v>16</v>
      </c>
      <c r="S21" s="65"/>
      <c r="T21" s="60" t="str">
        <f ca="1">IFERROR(MATCH(INDIRECT("S21"),'1.Locations'!B2:B21, 0) - 1," ")</f>
        <v xml:space="preserve"> </v>
      </c>
      <c r="U21" s="60" t="e">
        <f ca="1">IFERROR(IF(ISNUMBER(T21),INDEX('1.Locations'!D2:D21,T21 + 1),NA()),NA())</f>
        <v>#N/A</v>
      </c>
      <c r="V21" s="60" t="e">
        <f ca="1">IFERROR(IF(ISNUMBER(T21),INDEX('1.Locations'!E2:E21,T21 + 1),NA()),NA())</f>
        <v>#N/A</v>
      </c>
      <c r="W21" s="61" t="str">
        <f ca="1">IFERROR(IF(ISNUMBER(T21),INDEX('2.Distances'!C2:C401,T20*20+T21+ 1) +W20," ")," ")</f>
        <v xml:space="preserve"> </v>
      </c>
      <c r="X21" s="62" t="str">
        <f ca="1">IFERROR(IF(ISNUMBER(T21),'3.Vehicles'!F2 * INDEX('2.Distances'!D2:D401,T20*20+T21 + 1) +X20," ")," ")</f>
        <v xml:space="preserve"> </v>
      </c>
      <c r="Y21" s="63" t="str">
        <f ca="1">IFERROR(IF(ISNUMBER(T21),'3.Vehicles'!F2 * INDEX('2.Distances'!D2:D401,T20*20+T21 + 1) +Z20," ")," ")</f>
        <v xml:space="preserve"> </v>
      </c>
      <c r="Z21" s="63" t="str">
        <f ca="1">IFERROR(IF(AND(T5&lt;&gt;T21,ISNUMBER(Y21)),INDEX('1.Locations'!I2:I21,T21 + 1) + MAX(Y21,INDEX('1.Locations'!F2:F21,T21 + 1))," ")," ")</f>
        <v xml:space="preserve"> </v>
      </c>
      <c r="AA21" s="62" t="str">
        <f ca="1">IFERROR(IF(AND(S21 = S5, S22 = ""), Y21 - Z5, Z21 - Z5)," ")</f>
        <v xml:space="preserve"> </v>
      </c>
      <c r="AB21" s="60" t="str">
        <f ca="1">IFERROR(IF(ISNUMBER(T21),INDEX('1.Locations'!L2:L21,T21 + 1) + AB20," ")," ")</f>
        <v xml:space="preserve"> </v>
      </c>
      <c r="AC21" s="61" t="str">
        <f ca="1">IFERROR(IF(ISNUMBER(T21),INDEX('1.Locations'!J2:J21,T21 + 1)," ")," ")</f>
        <v xml:space="preserve"> </v>
      </c>
      <c r="AD21" s="61" t="str">
        <f ca="1">IFERROR(IF(ISNUMBER(T21),INDEX('1.Locations'!K2:K21,T21 + 1)," ")," ")</f>
        <v xml:space="preserve"> </v>
      </c>
      <c r="AE21" s="61" t="str">
        <f ca="1">IFERROR(IF(ISNUMBER(T21),IF(S21 = S5, 0, AC21 + AE20)," ")," ")</f>
        <v xml:space="preserve"> </v>
      </c>
      <c r="AF21" s="61" t="str">
        <f ca="1">IFERROR(IF(ISNUMBER(T21),IF(S22 = S5, 0, IF(S22 = "", 0, AF22 + AD22))," ")," ")</f>
        <v xml:space="preserve"> </v>
      </c>
      <c r="AG21" s="60" t="str">
        <f ca="1">IFERROR(IF(ISNUMBER(T21),AE21 + AF21," ")," ")</f>
        <v xml:space="preserve"> </v>
      </c>
      <c r="AI21" s="16">
        <v>16</v>
      </c>
      <c r="AJ21" s="65"/>
      <c r="AK21" s="60" t="str">
        <f ca="1">IFERROR(MATCH(INDIRECT("AJ21"),'1.Locations'!B2:B21, 0) - 1," ")</f>
        <v xml:space="preserve"> </v>
      </c>
      <c r="AL21" s="60" t="e">
        <f ca="1">IFERROR(IF(ISNUMBER(AK21),INDEX('1.Locations'!D2:D21,AK21 + 1),NA()),NA())</f>
        <v>#N/A</v>
      </c>
      <c r="AM21" s="60" t="e">
        <f ca="1">IFERROR(IF(ISNUMBER(AK21),INDEX('1.Locations'!E2:E21,AK21 + 1),NA()),NA())</f>
        <v>#N/A</v>
      </c>
      <c r="AN21" s="61" t="str">
        <f ca="1">IFERROR(IF(ISNUMBER(AK21),INDEX('2.Distances'!C2:C401,AK20*20+AK21+ 1) +AN20," ")," ")</f>
        <v xml:space="preserve"> </v>
      </c>
      <c r="AO21" s="62" t="str">
        <f ca="1">IFERROR(IF(ISNUMBER(AK21),'3.Vehicles'!F2 * INDEX('2.Distances'!D2:D401,AK20*20+AK21 + 1) +AO20," ")," ")</f>
        <v xml:space="preserve"> </v>
      </c>
      <c r="AP21" s="63" t="str">
        <f ca="1">IFERROR(IF(ISNUMBER(AK21),'3.Vehicles'!F2 * INDEX('2.Distances'!D2:D401,AK20*20+AK21 + 1) +AQ20," ")," ")</f>
        <v xml:space="preserve"> </v>
      </c>
      <c r="AQ21" s="63" t="str">
        <f ca="1">IFERROR(IF(AND(AK5&lt;&gt;AK21,ISNUMBER(AP21)),INDEX('1.Locations'!I2:I21,AK21 + 1) + MAX(AP21,INDEX('1.Locations'!F2:F21,AK21 + 1))," ")," ")</f>
        <v xml:space="preserve"> </v>
      </c>
      <c r="AR21" s="62" t="str">
        <f ca="1">IFERROR(IF(AND(AJ21 = AJ5, AJ22 = ""), AP21 - AQ5, AQ21 - AQ5)," ")</f>
        <v xml:space="preserve"> </v>
      </c>
      <c r="AS21" s="60" t="str">
        <f ca="1">IFERROR(IF(ISNUMBER(AK21),INDEX('1.Locations'!L2:L21,AK21 + 1) + AS20," ")," ")</f>
        <v xml:space="preserve"> </v>
      </c>
      <c r="AT21" s="61" t="str">
        <f ca="1">IFERROR(IF(ISNUMBER(AK21),INDEX('1.Locations'!J2:J21,AK21 + 1)," ")," ")</f>
        <v xml:space="preserve"> </v>
      </c>
      <c r="AU21" s="61" t="str">
        <f ca="1">IFERROR(IF(ISNUMBER(AK21),INDEX('1.Locations'!K2:K21,AK21 + 1)," ")," ")</f>
        <v xml:space="preserve"> </v>
      </c>
      <c r="AV21" s="61" t="str">
        <f ca="1">IFERROR(IF(ISNUMBER(AK21),IF(AJ21 = AJ5, 0, AT21 + AV20)," ")," ")</f>
        <v xml:space="preserve"> </v>
      </c>
      <c r="AW21" s="61" t="str">
        <f ca="1">IFERROR(IF(ISNUMBER(AK21),IF(AJ22 = AJ5, 0, IF(AJ22 = "", 0, AW22 + AU22))," ")," ")</f>
        <v xml:space="preserve"> </v>
      </c>
      <c r="AX21" s="60" t="str">
        <f ca="1">IFERROR(IF(ISNUMBER(AK21),AV21 + AW21," ")," ")</f>
        <v xml:space="preserve"> </v>
      </c>
      <c r="AZ21" s="16">
        <v>16</v>
      </c>
      <c r="BA21" s="65"/>
      <c r="BB21" s="60" t="str">
        <f ca="1">IFERROR(MATCH(INDIRECT("BA21"),'1.Locations'!B2:B21, 0) - 1," ")</f>
        <v xml:space="preserve"> </v>
      </c>
      <c r="BC21" s="60" t="e">
        <f ca="1">IFERROR(IF(ISNUMBER(BB21),INDEX('1.Locations'!D2:D21,BB21 + 1),NA()),NA())</f>
        <v>#N/A</v>
      </c>
      <c r="BD21" s="60" t="e">
        <f ca="1">IFERROR(IF(ISNUMBER(BB21),INDEX('1.Locations'!E2:E21,BB21 + 1),NA()),NA())</f>
        <v>#N/A</v>
      </c>
      <c r="BE21" s="61" t="str">
        <f ca="1">IFERROR(IF(ISNUMBER(BB21),INDEX('2.Distances'!C2:C401,BB20*20+BB21+ 1) +BE20," ")," ")</f>
        <v xml:space="preserve"> </v>
      </c>
      <c r="BF21" s="62" t="str">
        <f ca="1">IFERROR(IF(ISNUMBER(BB21),'3.Vehicles'!F2 * INDEX('2.Distances'!D2:D401,BB20*20+BB21 + 1) +BF20," ")," ")</f>
        <v xml:space="preserve"> </v>
      </c>
      <c r="BG21" s="63" t="str">
        <f ca="1">IFERROR(IF(ISNUMBER(BB21),'3.Vehicles'!F2 * INDEX('2.Distances'!D2:D401,BB20*20+BB21 + 1) +BH20," ")," ")</f>
        <v xml:space="preserve"> </v>
      </c>
      <c r="BH21" s="63" t="str">
        <f ca="1">IFERROR(IF(AND(BB5&lt;&gt;BB21,ISNUMBER(BG21)),INDEX('1.Locations'!I2:I21,BB21 + 1) + MAX(BG21,INDEX('1.Locations'!F2:F21,BB21 + 1))," ")," ")</f>
        <v xml:space="preserve"> </v>
      </c>
      <c r="BI21" s="62" t="str">
        <f ca="1">IFERROR(IF(AND(BA21 = BA5, BA22 = ""), BG21 - BH5, BH21 - BH5)," ")</f>
        <v xml:space="preserve"> </v>
      </c>
      <c r="BJ21" s="60" t="str">
        <f ca="1">IFERROR(IF(ISNUMBER(BB21),INDEX('1.Locations'!L2:L21,BB21 + 1) + BJ20," ")," ")</f>
        <v xml:space="preserve"> </v>
      </c>
      <c r="BK21" s="61" t="str">
        <f ca="1">IFERROR(IF(ISNUMBER(BB21),INDEX('1.Locations'!J2:J21,BB21 + 1)," ")," ")</f>
        <v xml:space="preserve"> </v>
      </c>
      <c r="BL21" s="61" t="str">
        <f ca="1">IFERROR(IF(ISNUMBER(BB21),INDEX('1.Locations'!K2:K21,BB21 + 1)," ")," ")</f>
        <v xml:space="preserve"> </v>
      </c>
      <c r="BM21" s="61" t="str">
        <f ca="1">IFERROR(IF(ISNUMBER(BB21),IF(BA21 = BA5, 0, BK21 + BM20)," ")," ")</f>
        <v xml:space="preserve"> </v>
      </c>
      <c r="BN21" s="61" t="str">
        <f ca="1">IFERROR(IF(ISNUMBER(BB21),IF(BA22 = BA5, 0, IF(BA22 = "", 0, BN22 + BL22))," ")," ")</f>
        <v xml:space="preserve"> </v>
      </c>
      <c r="BO21" s="60" t="str">
        <f ca="1">IFERROR(IF(ISNUMBER(BB21),BM21 + BN21," ")," ")</f>
        <v xml:space="preserve"> </v>
      </c>
      <c r="BQ21" s="16">
        <v>16</v>
      </c>
      <c r="BR21" s="65"/>
      <c r="BS21" s="60" t="str">
        <f ca="1">IFERROR(MATCH(INDIRECT("BR21"),'1.Locations'!B2:B21, 0) - 1," ")</f>
        <v xml:space="preserve"> </v>
      </c>
      <c r="BT21" s="60" t="e">
        <f ca="1">IFERROR(IF(ISNUMBER(BS21),INDEX('1.Locations'!D2:D21,BS21 + 1),NA()),NA())</f>
        <v>#N/A</v>
      </c>
      <c r="BU21" s="60" t="e">
        <f ca="1">IFERROR(IF(ISNUMBER(BS21),INDEX('1.Locations'!E2:E21,BS21 + 1),NA()),NA())</f>
        <v>#N/A</v>
      </c>
      <c r="BV21" s="61" t="str">
        <f ca="1">IFERROR(IF(ISNUMBER(BS21),INDEX('2.Distances'!C2:C401,BS20*20+BS21+ 1) +BV20," ")," ")</f>
        <v xml:space="preserve"> </v>
      </c>
      <c r="BW21" s="62" t="str">
        <f ca="1">IFERROR(IF(ISNUMBER(BS21),'3.Vehicles'!F2 * INDEX('2.Distances'!D2:D401,BS20*20+BS21 + 1) +BW20," ")," ")</f>
        <v xml:space="preserve"> </v>
      </c>
      <c r="BX21" s="63" t="str">
        <f ca="1">IFERROR(IF(ISNUMBER(BS21),'3.Vehicles'!F2 * INDEX('2.Distances'!D2:D401,BS20*20+BS21 + 1) +BY20," ")," ")</f>
        <v xml:space="preserve"> </v>
      </c>
      <c r="BY21" s="63" t="str">
        <f ca="1">IFERROR(IF(AND(BS5&lt;&gt;BS21,ISNUMBER(BX21)),INDEX('1.Locations'!I2:I21,BS21 + 1) + MAX(BX21,INDEX('1.Locations'!F2:F21,BS21 + 1))," ")," ")</f>
        <v xml:space="preserve"> </v>
      </c>
      <c r="BZ21" s="62" t="str">
        <f ca="1">IFERROR(IF(AND(BR21 = BR5, BR22 = ""), BX21 - BY5, BY21 - BY5)," ")</f>
        <v xml:space="preserve"> </v>
      </c>
      <c r="CA21" s="60" t="str">
        <f ca="1">IFERROR(IF(ISNUMBER(BS21),INDEX('1.Locations'!L2:L21,BS21 + 1) + CA20," ")," ")</f>
        <v xml:space="preserve"> </v>
      </c>
      <c r="CB21" s="61" t="str">
        <f ca="1">IFERROR(IF(ISNUMBER(BS21),INDEX('1.Locations'!J2:J21,BS21 + 1)," ")," ")</f>
        <v xml:space="preserve"> </v>
      </c>
      <c r="CC21" s="61" t="str">
        <f ca="1">IFERROR(IF(ISNUMBER(BS21),INDEX('1.Locations'!K2:K21,BS21 + 1)," ")," ")</f>
        <v xml:space="preserve"> </v>
      </c>
      <c r="CD21" s="61" t="str">
        <f ca="1">IFERROR(IF(ISNUMBER(BS21),IF(BR21 = BR5, 0, CB21 + CD20)," ")," ")</f>
        <v xml:space="preserve"> </v>
      </c>
      <c r="CE21" s="61" t="str">
        <f ca="1">IFERROR(IF(ISNUMBER(BS21),IF(BR22 = BR5, 0, IF(BR22 = "", 0, CE22 + CC22))," ")," ")</f>
        <v xml:space="preserve"> </v>
      </c>
      <c r="CF21" s="60" t="str">
        <f ca="1">IFERROR(IF(ISNUMBER(BS21),CD21 + CE21," ")," ")</f>
        <v xml:space="preserve"> </v>
      </c>
      <c r="CH21" s="16">
        <v>16</v>
      </c>
      <c r="CI21" s="65"/>
      <c r="CJ21" s="60" t="str">
        <f ca="1">IFERROR(MATCH(INDIRECT("CI21"),'1.Locations'!B2:B21, 0) - 1," ")</f>
        <v xml:space="preserve"> </v>
      </c>
      <c r="CK21" s="60" t="e">
        <f ca="1">IFERROR(IF(ISNUMBER(CJ21),INDEX('1.Locations'!D2:D21,CJ21 + 1),NA()),NA())</f>
        <v>#N/A</v>
      </c>
      <c r="CL21" s="60" t="e">
        <f ca="1">IFERROR(IF(ISNUMBER(CJ21),INDEX('1.Locations'!E2:E21,CJ21 + 1),NA()),NA())</f>
        <v>#N/A</v>
      </c>
      <c r="CM21" s="61" t="str">
        <f ca="1">IFERROR(IF(ISNUMBER(CJ21),INDEX('2.Distances'!C2:C401,CJ20*20+CJ21+ 1) +CM20," ")," ")</f>
        <v xml:space="preserve"> </v>
      </c>
      <c r="CN21" s="62" t="str">
        <f ca="1">IFERROR(IF(ISNUMBER(CJ21),'3.Vehicles'!F2 * INDEX('2.Distances'!D2:D401,CJ20*20+CJ21 + 1) +CN20," ")," ")</f>
        <v xml:space="preserve"> </v>
      </c>
      <c r="CO21" s="63" t="str">
        <f ca="1">IFERROR(IF(ISNUMBER(CJ21),'3.Vehicles'!F2 * INDEX('2.Distances'!D2:D401,CJ20*20+CJ21 + 1) +CP20," ")," ")</f>
        <v xml:space="preserve"> </v>
      </c>
      <c r="CP21" s="63" t="str">
        <f ca="1">IFERROR(IF(AND(CJ5&lt;&gt;CJ21,ISNUMBER(CO21)),INDEX('1.Locations'!I2:I21,CJ21 + 1) + MAX(CO21,INDEX('1.Locations'!F2:F21,CJ21 + 1))," ")," ")</f>
        <v xml:space="preserve"> </v>
      </c>
      <c r="CQ21" s="62" t="str">
        <f ca="1">IFERROR(IF(AND(CI21 = CI5, CI22 = ""), CO21 - CP5, CP21 - CP5)," ")</f>
        <v xml:space="preserve"> </v>
      </c>
      <c r="CR21" s="60" t="str">
        <f ca="1">IFERROR(IF(ISNUMBER(CJ21),INDEX('1.Locations'!L2:L21,CJ21 + 1) + CR20," ")," ")</f>
        <v xml:space="preserve"> </v>
      </c>
      <c r="CS21" s="61" t="str">
        <f ca="1">IFERROR(IF(ISNUMBER(CJ21),INDEX('1.Locations'!J2:J21,CJ21 + 1)," ")," ")</f>
        <v xml:space="preserve"> </v>
      </c>
      <c r="CT21" s="61" t="str">
        <f ca="1">IFERROR(IF(ISNUMBER(CJ21),INDEX('1.Locations'!K2:K21,CJ21 + 1)," ")," ")</f>
        <v xml:space="preserve"> </v>
      </c>
      <c r="CU21" s="61" t="str">
        <f ca="1">IFERROR(IF(ISNUMBER(CJ21),IF(CI21 = CI5, 0, CS21 + CU20)," ")," ")</f>
        <v xml:space="preserve"> </v>
      </c>
      <c r="CV21" s="61" t="str">
        <f ca="1">IFERROR(IF(ISNUMBER(CJ21),IF(CI22 = CI5, 0, IF(CI22 = "", 0, CV22 + CT22))," ")," ")</f>
        <v xml:space="preserve"> </v>
      </c>
      <c r="CW21" s="60" t="str">
        <f ca="1">IFERROR(IF(ISNUMBER(CJ21),CU21 + CV21," ")," ")</f>
        <v xml:space="preserve"> </v>
      </c>
      <c r="CY21" s="16">
        <v>16</v>
      </c>
      <c r="CZ21" s="65"/>
      <c r="DA21" s="60" t="str">
        <f ca="1">IFERROR(MATCH(INDIRECT("CZ21"),'1.Locations'!B2:B21, 0) - 1," ")</f>
        <v xml:space="preserve"> </v>
      </c>
      <c r="DB21" s="60" t="e">
        <f ca="1">IFERROR(IF(ISNUMBER(DA21),INDEX('1.Locations'!D2:D21,DA21 + 1),NA()),NA())</f>
        <v>#N/A</v>
      </c>
      <c r="DC21" s="60" t="e">
        <f ca="1">IFERROR(IF(ISNUMBER(DA21),INDEX('1.Locations'!E2:E21,DA21 + 1),NA()),NA())</f>
        <v>#N/A</v>
      </c>
      <c r="DD21" s="61" t="str">
        <f ca="1">IFERROR(IF(ISNUMBER(DA21),INDEX('2.Distances'!C2:C401,DA20*20+DA21+ 1) +DD20," ")," ")</f>
        <v xml:space="preserve"> </v>
      </c>
      <c r="DE21" s="62" t="str">
        <f ca="1">IFERROR(IF(ISNUMBER(DA21),'3.Vehicles'!F2 * INDEX('2.Distances'!D2:D401,DA20*20+DA21 + 1) +DE20," ")," ")</f>
        <v xml:space="preserve"> </v>
      </c>
      <c r="DF21" s="63" t="str">
        <f ca="1">IFERROR(IF(ISNUMBER(DA21),'3.Vehicles'!F2 * INDEX('2.Distances'!D2:D401,DA20*20+DA21 + 1) +DG20," ")," ")</f>
        <v xml:space="preserve"> </v>
      </c>
      <c r="DG21" s="63" t="str">
        <f ca="1">IFERROR(IF(AND(DA5&lt;&gt;DA21,ISNUMBER(DF21)),INDEX('1.Locations'!I2:I21,DA21 + 1) + MAX(DF21,INDEX('1.Locations'!F2:F21,DA21 + 1))," ")," ")</f>
        <v xml:space="preserve"> </v>
      </c>
      <c r="DH21" s="62" t="str">
        <f ca="1">IFERROR(IF(AND(CZ21 = CZ5, CZ22 = ""), DF21 - DG5, DG21 - DG5)," ")</f>
        <v xml:space="preserve"> </v>
      </c>
      <c r="DI21" s="60" t="str">
        <f ca="1">IFERROR(IF(ISNUMBER(DA21),INDEX('1.Locations'!L2:L21,DA21 + 1) + DI20," ")," ")</f>
        <v xml:space="preserve"> </v>
      </c>
      <c r="DJ21" s="61" t="str">
        <f ca="1">IFERROR(IF(ISNUMBER(DA21),INDEX('1.Locations'!J2:J21,DA21 + 1)," ")," ")</f>
        <v xml:space="preserve"> </v>
      </c>
      <c r="DK21" s="61" t="str">
        <f ca="1">IFERROR(IF(ISNUMBER(DA21),INDEX('1.Locations'!K2:K21,DA21 + 1)," ")," ")</f>
        <v xml:space="preserve"> </v>
      </c>
      <c r="DL21" s="61" t="str">
        <f ca="1">IFERROR(IF(ISNUMBER(DA21),IF(CZ21 = CZ5, 0, DJ21 + DL20)," ")," ")</f>
        <v xml:space="preserve"> </v>
      </c>
      <c r="DM21" s="61" t="str">
        <f ca="1">IFERROR(IF(ISNUMBER(DA21),IF(CZ22 = CZ5, 0, IF(CZ22 = "", 0, DM22 + DK22))," ")," ")</f>
        <v xml:space="preserve"> </v>
      </c>
      <c r="DN21" s="60" t="str">
        <f ca="1">IFERROR(IF(ISNUMBER(DA21),DL21 + DM21," ")," ")</f>
        <v xml:space="preserve"> </v>
      </c>
      <c r="DP21" s="16">
        <v>16</v>
      </c>
      <c r="DQ21" s="65"/>
      <c r="DR21" s="60" t="str">
        <f ca="1">IFERROR(MATCH(INDIRECT("DQ21"),'1.Locations'!B2:B21, 0) - 1," ")</f>
        <v xml:space="preserve"> </v>
      </c>
      <c r="DS21" s="60" t="e">
        <f ca="1">IFERROR(IF(ISNUMBER(DR21),INDEX('1.Locations'!D2:D21,DR21 + 1),NA()),NA())</f>
        <v>#N/A</v>
      </c>
      <c r="DT21" s="60" t="e">
        <f ca="1">IFERROR(IF(ISNUMBER(DR21),INDEX('1.Locations'!E2:E21,DR21 + 1),NA()),NA())</f>
        <v>#N/A</v>
      </c>
      <c r="DU21" s="61" t="str">
        <f ca="1">IFERROR(IF(ISNUMBER(DR21),INDEX('2.Distances'!C2:C401,DR20*20+DR21+ 1) +DU20," ")," ")</f>
        <v xml:space="preserve"> </v>
      </c>
      <c r="DV21" s="62" t="str">
        <f ca="1">IFERROR(IF(ISNUMBER(DR21),'3.Vehicles'!F2 * INDEX('2.Distances'!D2:D401,DR20*20+DR21 + 1) +DV20," ")," ")</f>
        <v xml:space="preserve"> </v>
      </c>
      <c r="DW21" s="63" t="str">
        <f ca="1">IFERROR(IF(ISNUMBER(DR21),'3.Vehicles'!F2 * INDEX('2.Distances'!D2:D401,DR20*20+DR21 + 1) +DX20," ")," ")</f>
        <v xml:space="preserve"> </v>
      </c>
      <c r="DX21" s="63" t="str">
        <f ca="1">IFERROR(IF(AND(DR5&lt;&gt;DR21,ISNUMBER(DW21)),INDEX('1.Locations'!I2:I21,DR21 + 1) + MAX(DW21,INDEX('1.Locations'!F2:F21,DR21 + 1))," ")," ")</f>
        <v xml:space="preserve"> </v>
      </c>
      <c r="DY21" s="62" t="str">
        <f ca="1">IFERROR(IF(AND(DQ21 = DQ5, DQ22 = ""), DW21 - DX5, DX21 - DX5)," ")</f>
        <v xml:space="preserve"> </v>
      </c>
      <c r="DZ21" s="60" t="str">
        <f ca="1">IFERROR(IF(ISNUMBER(DR21),INDEX('1.Locations'!L2:L21,DR21 + 1) + DZ20," ")," ")</f>
        <v xml:space="preserve"> </v>
      </c>
      <c r="EA21" s="61" t="str">
        <f ca="1">IFERROR(IF(ISNUMBER(DR21),INDEX('1.Locations'!J2:J21,DR21 + 1)," ")," ")</f>
        <v xml:space="preserve"> </v>
      </c>
      <c r="EB21" s="61" t="str">
        <f ca="1">IFERROR(IF(ISNUMBER(DR21),INDEX('1.Locations'!K2:K21,DR21 + 1)," ")," ")</f>
        <v xml:space="preserve"> </v>
      </c>
      <c r="EC21" s="61" t="str">
        <f ca="1">IFERROR(IF(ISNUMBER(DR21),IF(DQ21 = DQ5, 0, EA21 + EC20)," ")," ")</f>
        <v xml:space="preserve"> </v>
      </c>
      <c r="ED21" s="61" t="str">
        <f ca="1">IFERROR(IF(ISNUMBER(DR21),IF(DQ22 = DQ5, 0, IF(DQ22 = "", 0, ED22 + EB22))," ")," ")</f>
        <v xml:space="preserve"> </v>
      </c>
      <c r="EE21" s="60" t="str">
        <f ca="1">IFERROR(IF(ISNUMBER(DR21),EC21 + ED21," ")," ")</f>
        <v xml:space="preserve"> </v>
      </c>
      <c r="EG21" s="16">
        <v>16</v>
      </c>
      <c r="EH21" s="65"/>
      <c r="EI21" s="60" t="str">
        <f ca="1">IFERROR(MATCH(INDIRECT("EH21"),'1.Locations'!B2:B21, 0) - 1," ")</f>
        <v xml:space="preserve"> </v>
      </c>
      <c r="EJ21" s="60" t="e">
        <f ca="1">IFERROR(IF(ISNUMBER(EI21),INDEX('1.Locations'!D2:D21,EI21 + 1),NA()),NA())</f>
        <v>#N/A</v>
      </c>
      <c r="EK21" s="60" t="e">
        <f ca="1">IFERROR(IF(ISNUMBER(EI21),INDEX('1.Locations'!E2:E21,EI21 + 1),NA()),NA())</f>
        <v>#N/A</v>
      </c>
      <c r="EL21" s="61" t="str">
        <f ca="1">IFERROR(IF(ISNUMBER(EI21),INDEX('2.Distances'!C2:C401,EI20*20+EI21+ 1) +EL20," ")," ")</f>
        <v xml:space="preserve"> </v>
      </c>
      <c r="EM21" s="62" t="str">
        <f ca="1">IFERROR(IF(ISNUMBER(EI21),'3.Vehicles'!F2 * INDEX('2.Distances'!D2:D401,EI20*20+EI21 + 1) +EM20," ")," ")</f>
        <v xml:space="preserve"> </v>
      </c>
      <c r="EN21" s="63" t="str">
        <f ca="1">IFERROR(IF(ISNUMBER(EI21),'3.Vehicles'!F2 * INDEX('2.Distances'!D2:D401,EI20*20+EI21 + 1) +EO20," ")," ")</f>
        <v xml:space="preserve"> </v>
      </c>
      <c r="EO21" s="63" t="str">
        <f ca="1">IFERROR(IF(AND(EI5&lt;&gt;EI21,ISNUMBER(EN21)),INDEX('1.Locations'!I2:I21,EI21 + 1) + MAX(EN21,INDEX('1.Locations'!F2:F21,EI21 + 1))," ")," ")</f>
        <v xml:space="preserve"> </v>
      </c>
      <c r="EP21" s="62" t="str">
        <f ca="1">IFERROR(IF(AND(EH21 = EH5, EH22 = ""), EN21 - EO5, EO21 - EO5)," ")</f>
        <v xml:space="preserve"> </v>
      </c>
      <c r="EQ21" s="60" t="str">
        <f ca="1">IFERROR(IF(ISNUMBER(EI21),INDEX('1.Locations'!L2:L21,EI21 + 1) + EQ20," ")," ")</f>
        <v xml:space="preserve"> </v>
      </c>
      <c r="ER21" s="61" t="str">
        <f ca="1">IFERROR(IF(ISNUMBER(EI21),INDEX('1.Locations'!J2:J21,EI21 + 1)," ")," ")</f>
        <v xml:space="preserve"> </v>
      </c>
      <c r="ES21" s="61" t="str">
        <f ca="1">IFERROR(IF(ISNUMBER(EI21),INDEX('1.Locations'!K2:K21,EI21 + 1)," ")," ")</f>
        <v xml:space="preserve"> </v>
      </c>
      <c r="ET21" s="61" t="str">
        <f ca="1">IFERROR(IF(ISNUMBER(EI21),IF(EH21 = EH5, 0, ER21 + ET20)," ")," ")</f>
        <v xml:space="preserve"> </v>
      </c>
      <c r="EU21" s="61" t="str">
        <f ca="1">IFERROR(IF(ISNUMBER(EI21),IF(EH22 = EH5, 0, IF(EH22 = "", 0, EU22 + ES22))," ")," ")</f>
        <v xml:space="preserve"> </v>
      </c>
      <c r="EV21" s="60" t="str">
        <f ca="1">IFERROR(IF(ISNUMBER(EI21),ET21 + EU21," ")," ")</f>
        <v xml:space="preserve"> </v>
      </c>
      <c r="EX21" s="16">
        <v>16</v>
      </c>
      <c r="EY21" s="65"/>
      <c r="EZ21" s="60" t="str">
        <f ca="1">IFERROR(MATCH(INDIRECT("EY21"),'1.Locations'!B2:B21, 0) - 1," ")</f>
        <v xml:space="preserve"> </v>
      </c>
      <c r="FA21" s="60" t="e">
        <f ca="1">IFERROR(IF(ISNUMBER(EZ21),INDEX('1.Locations'!D2:D21,EZ21 + 1),NA()),NA())</f>
        <v>#N/A</v>
      </c>
      <c r="FB21" s="60" t="e">
        <f ca="1">IFERROR(IF(ISNUMBER(EZ21),INDEX('1.Locations'!E2:E21,EZ21 + 1),NA()),NA())</f>
        <v>#N/A</v>
      </c>
      <c r="FC21" s="61" t="str">
        <f ca="1">IFERROR(IF(ISNUMBER(EZ21),INDEX('2.Distances'!C2:C401,EZ20*20+EZ21+ 1) +FC20," ")," ")</f>
        <v xml:space="preserve"> </v>
      </c>
      <c r="FD21" s="62" t="str">
        <f ca="1">IFERROR(IF(ISNUMBER(EZ21),'3.Vehicles'!F2 * INDEX('2.Distances'!D2:D401,EZ20*20+EZ21 + 1) +FD20," ")," ")</f>
        <v xml:space="preserve"> </v>
      </c>
      <c r="FE21" s="63" t="str">
        <f ca="1">IFERROR(IF(ISNUMBER(EZ21),'3.Vehicles'!F2 * INDEX('2.Distances'!D2:D401,EZ20*20+EZ21 + 1) +FF20," ")," ")</f>
        <v xml:space="preserve"> </v>
      </c>
      <c r="FF21" s="63" t="str">
        <f ca="1">IFERROR(IF(AND(EZ5&lt;&gt;EZ21,ISNUMBER(FE21)),INDEX('1.Locations'!I2:I21,EZ21 + 1) + MAX(FE21,INDEX('1.Locations'!F2:F21,EZ21 + 1))," ")," ")</f>
        <v xml:space="preserve"> </v>
      </c>
      <c r="FG21" s="62" t="str">
        <f ca="1">IFERROR(IF(AND(EY21 = EY5, EY22 = ""), FE21 - FF5, FF21 - FF5)," ")</f>
        <v xml:space="preserve"> </v>
      </c>
      <c r="FH21" s="60" t="str">
        <f ca="1">IFERROR(IF(ISNUMBER(EZ21),INDEX('1.Locations'!L2:L21,EZ21 + 1) + FH20," ")," ")</f>
        <v xml:space="preserve"> </v>
      </c>
      <c r="FI21" s="61" t="str">
        <f ca="1">IFERROR(IF(ISNUMBER(EZ21),INDEX('1.Locations'!J2:J21,EZ21 + 1)," ")," ")</f>
        <v xml:space="preserve"> </v>
      </c>
      <c r="FJ21" s="61" t="str">
        <f ca="1">IFERROR(IF(ISNUMBER(EZ21),INDEX('1.Locations'!K2:K21,EZ21 + 1)," ")," ")</f>
        <v xml:space="preserve"> </v>
      </c>
      <c r="FK21" s="61" t="str">
        <f ca="1">IFERROR(IF(ISNUMBER(EZ21),IF(EY21 = EY5, 0, FI21 + FK20)," ")," ")</f>
        <v xml:space="preserve"> </v>
      </c>
      <c r="FL21" s="61" t="str">
        <f ca="1">IFERROR(IF(ISNUMBER(EZ21),IF(EY22 = EY5, 0, IF(EY22 = "", 0, FL22 + FJ22))," ")," ")</f>
        <v xml:space="preserve"> </v>
      </c>
      <c r="FM21" s="60" t="str">
        <f ca="1">IFERROR(IF(ISNUMBER(EZ21),FK21 + FL21," ")," ")</f>
        <v xml:space="preserve"> </v>
      </c>
    </row>
    <row r="22" spans="1:169" x14ac:dyDescent="0.3">
      <c r="A22" s="16">
        <v>17</v>
      </c>
      <c r="B22" s="59"/>
      <c r="C22" s="60" t="str">
        <f ca="1">IFERROR(MATCH(INDIRECT("B22"),'1.Locations'!B2:B21, 0) - 1," ")</f>
        <v xml:space="preserve"> </v>
      </c>
      <c r="D22" s="60" t="e">
        <f ca="1">IFERROR(IF(ISNUMBER(C22),INDEX('1.Locations'!D2:D21,C22 + 1),NA()),NA())</f>
        <v>#N/A</v>
      </c>
      <c r="E22" s="60" t="e">
        <f ca="1">IFERROR(IF(ISNUMBER(C22),INDEX('1.Locations'!E2:E21,C22 + 1),NA()),NA())</f>
        <v>#N/A</v>
      </c>
      <c r="F22" s="61" t="str">
        <f ca="1">IFERROR(IF(ISNUMBER(C22),INDEX('2.Distances'!C2:C401,C21*20+C22+ 1) +F21," ")," ")</f>
        <v xml:space="preserve"> </v>
      </c>
      <c r="G22" s="62" t="str">
        <f ca="1">IFERROR(IF(ISNUMBER(C22),'3.Vehicles'!F2 * INDEX('2.Distances'!D2:D401,C21*20+C22 + 1) +G21," ")," ")</f>
        <v xml:space="preserve"> </v>
      </c>
      <c r="H22" s="63" t="str">
        <f ca="1">IFERROR(IF(ISNUMBER(C22),'3.Vehicles'!F2 * INDEX('2.Distances'!D2:D401,C21*20+C22 + 1) +I21," ")," ")</f>
        <v xml:space="preserve"> </v>
      </c>
      <c r="I22" s="63" t="str">
        <f ca="1">IFERROR(IF(AND(C5&lt;&gt;C22,ISNUMBER(H22)),INDEX('1.Locations'!I2:I21,C22 + 1) + MAX(H22,INDEX('1.Locations'!F2:F21,C22 + 1))," ")," ")</f>
        <v xml:space="preserve"> </v>
      </c>
      <c r="J22" s="62" t="str">
        <f ca="1">IFERROR(IF(AND(B22 = B5, B23 = ""), H22 - I5, I22 - I5)," ")</f>
        <v xml:space="preserve"> </v>
      </c>
      <c r="K22" s="60" t="str">
        <f ca="1">IFERROR(IF(ISNUMBER(C22),INDEX('1.Locations'!L2:L21,C22 + 1) + K21," ")," ")</f>
        <v xml:space="preserve"> </v>
      </c>
      <c r="L22" s="61" t="str">
        <f ca="1">IFERROR(IF(ISNUMBER(C22),INDEX('1.Locations'!J2:J21,C22 + 1)," ")," ")</f>
        <v xml:space="preserve"> </v>
      </c>
      <c r="M22" s="61" t="str">
        <f ca="1">IFERROR(IF(ISNUMBER(C22),INDEX('1.Locations'!K2:K21,C22 + 1)," ")," ")</f>
        <v xml:space="preserve"> </v>
      </c>
      <c r="N22" s="61" t="str">
        <f ca="1">IFERROR(IF(ISNUMBER(C22),IF(B22 = B5, 0, L22 + N21)," ")," ")</f>
        <v xml:space="preserve"> </v>
      </c>
      <c r="O22" s="61" t="str">
        <f ca="1">IFERROR(IF(ISNUMBER(C22),IF(B23 = B5, 0, IF(B23 = "", 0, O23 + M23))," ")," ")</f>
        <v xml:space="preserve"> </v>
      </c>
      <c r="P22" s="60" t="str">
        <f ca="1">IFERROR(IF(ISNUMBER(C22),N22 + O22," ")," ")</f>
        <v xml:space="preserve"> </v>
      </c>
      <c r="R22" s="16">
        <v>17</v>
      </c>
      <c r="S22" s="59"/>
      <c r="T22" s="60" t="str">
        <f ca="1">IFERROR(MATCH(INDIRECT("S22"),'1.Locations'!B2:B21, 0) - 1," ")</f>
        <v xml:space="preserve"> </v>
      </c>
      <c r="U22" s="60" t="e">
        <f ca="1">IFERROR(IF(ISNUMBER(T22),INDEX('1.Locations'!D2:D21,T22 + 1),NA()),NA())</f>
        <v>#N/A</v>
      </c>
      <c r="V22" s="60" t="e">
        <f ca="1">IFERROR(IF(ISNUMBER(T22),INDEX('1.Locations'!E2:E21,T22 + 1),NA()),NA())</f>
        <v>#N/A</v>
      </c>
      <c r="W22" s="61" t="str">
        <f ca="1">IFERROR(IF(ISNUMBER(T22),INDEX('2.Distances'!C2:C401,T21*20+T22+ 1) +W21," ")," ")</f>
        <v xml:space="preserve"> </v>
      </c>
      <c r="X22" s="62" t="str">
        <f ca="1">IFERROR(IF(ISNUMBER(T22),'3.Vehicles'!F2 * INDEX('2.Distances'!D2:D401,T21*20+T22 + 1) +X21," ")," ")</f>
        <v xml:space="preserve"> </v>
      </c>
      <c r="Y22" s="63" t="str">
        <f ca="1">IFERROR(IF(ISNUMBER(T22),'3.Vehicles'!F2 * INDEX('2.Distances'!D2:D401,T21*20+T22 + 1) +Z21," ")," ")</f>
        <v xml:space="preserve"> </v>
      </c>
      <c r="Z22" s="63" t="str">
        <f ca="1">IFERROR(IF(AND(T5&lt;&gt;T22,ISNUMBER(Y22)),INDEX('1.Locations'!I2:I21,T22 + 1) + MAX(Y22,INDEX('1.Locations'!F2:F21,T22 + 1))," ")," ")</f>
        <v xml:space="preserve"> </v>
      </c>
      <c r="AA22" s="62" t="str">
        <f ca="1">IFERROR(IF(AND(S22 = S5, S23 = ""), Y22 - Z5, Z22 - Z5)," ")</f>
        <v xml:space="preserve"> </v>
      </c>
      <c r="AB22" s="60" t="str">
        <f ca="1">IFERROR(IF(ISNUMBER(T22),INDEX('1.Locations'!L2:L21,T22 + 1) + AB21," ")," ")</f>
        <v xml:space="preserve"> </v>
      </c>
      <c r="AC22" s="61" t="str">
        <f ca="1">IFERROR(IF(ISNUMBER(T22),INDEX('1.Locations'!J2:J21,T22 + 1)," ")," ")</f>
        <v xml:space="preserve"> </v>
      </c>
      <c r="AD22" s="61" t="str">
        <f ca="1">IFERROR(IF(ISNUMBER(T22),INDEX('1.Locations'!K2:K21,T22 + 1)," ")," ")</f>
        <v xml:space="preserve"> </v>
      </c>
      <c r="AE22" s="61" t="str">
        <f ca="1">IFERROR(IF(ISNUMBER(T22),IF(S22 = S5, 0, AC22 + AE21)," ")," ")</f>
        <v xml:space="preserve"> </v>
      </c>
      <c r="AF22" s="61" t="str">
        <f ca="1">IFERROR(IF(ISNUMBER(T22),IF(S23 = S5, 0, IF(S23 = "", 0, AF23 + AD23))," ")," ")</f>
        <v xml:space="preserve"> </v>
      </c>
      <c r="AG22" s="60" t="str">
        <f ca="1">IFERROR(IF(ISNUMBER(T22),AE22 + AF22," ")," ")</f>
        <v xml:space="preserve"> </v>
      </c>
      <c r="AI22" s="16">
        <v>17</v>
      </c>
      <c r="AJ22" s="59"/>
      <c r="AK22" s="60" t="str">
        <f ca="1">IFERROR(MATCH(INDIRECT("AJ22"),'1.Locations'!B2:B21, 0) - 1," ")</f>
        <v xml:space="preserve"> </v>
      </c>
      <c r="AL22" s="60" t="e">
        <f ca="1">IFERROR(IF(ISNUMBER(AK22),INDEX('1.Locations'!D2:D21,AK22 + 1),NA()),NA())</f>
        <v>#N/A</v>
      </c>
      <c r="AM22" s="60" t="e">
        <f ca="1">IFERROR(IF(ISNUMBER(AK22),INDEX('1.Locations'!E2:E21,AK22 + 1),NA()),NA())</f>
        <v>#N/A</v>
      </c>
      <c r="AN22" s="61" t="str">
        <f ca="1">IFERROR(IF(ISNUMBER(AK22),INDEX('2.Distances'!C2:C401,AK21*20+AK22+ 1) +AN21," ")," ")</f>
        <v xml:space="preserve"> </v>
      </c>
      <c r="AO22" s="62" t="str">
        <f ca="1">IFERROR(IF(ISNUMBER(AK22),'3.Vehicles'!F2 * INDEX('2.Distances'!D2:D401,AK21*20+AK22 + 1) +AO21," ")," ")</f>
        <v xml:space="preserve"> </v>
      </c>
      <c r="AP22" s="63" t="str">
        <f ca="1">IFERROR(IF(ISNUMBER(AK22),'3.Vehicles'!F2 * INDEX('2.Distances'!D2:D401,AK21*20+AK22 + 1) +AQ21," ")," ")</f>
        <v xml:space="preserve"> </v>
      </c>
      <c r="AQ22" s="63" t="str">
        <f ca="1">IFERROR(IF(AND(AK5&lt;&gt;AK22,ISNUMBER(AP22)),INDEX('1.Locations'!I2:I21,AK22 + 1) + MAX(AP22,INDEX('1.Locations'!F2:F21,AK22 + 1))," ")," ")</f>
        <v xml:space="preserve"> </v>
      </c>
      <c r="AR22" s="62" t="str">
        <f ca="1">IFERROR(IF(AND(AJ22 = AJ5, AJ23 = ""), AP22 - AQ5, AQ22 - AQ5)," ")</f>
        <v xml:space="preserve"> </v>
      </c>
      <c r="AS22" s="60" t="str">
        <f ca="1">IFERROR(IF(ISNUMBER(AK22),INDEX('1.Locations'!L2:L21,AK22 + 1) + AS21," ")," ")</f>
        <v xml:space="preserve"> </v>
      </c>
      <c r="AT22" s="61" t="str">
        <f ca="1">IFERROR(IF(ISNUMBER(AK22),INDEX('1.Locations'!J2:J21,AK22 + 1)," ")," ")</f>
        <v xml:space="preserve"> </v>
      </c>
      <c r="AU22" s="61" t="str">
        <f ca="1">IFERROR(IF(ISNUMBER(AK22),INDEX('1.Locations'!K2:K21,AK22 + 1)," ")," ")</f>
        <v xml:space="preserve"> </v>
      </c>
      <c r="AV22" s="61" t="str">
        <f ca="1">IFERROR(IF(ISNUMBER(AK22),IF(AJ22 = AJ5, 0, AT22 + AV21)," ")," ")</f>
        <v xml:space="preserve"> </v>
      </c>
      <c r="AW22" s="61" t="str">
        <f ca="1">IFERROR(IF(ISNUMBER(AK22),IF(AJ23 = AJ5, 0, IF(AJ23 = "", 0, AW23 + AU23))," ")," ")</f>
        <v xml:space="preserve"> </v>
      </c>
      <c r="AX22" s="60" t="str">
        <f ca="1">IFERROR(IF(ISNUMBER(AK22),AV22 + AW22," ")," ")</f>
        <v xml:space="preserve"> </v>
      </c>
      <c r="AZ22" s="16">
        <v>17</v>
      </c>
      <c r="BA22" s="59"/>
      <c r="BB22" s="60" t="str">
        <f ca="1">IFERROR(MATCH(INDIRECT("BA22"),'1.Locations'!B2:B21, 0) - 1," ")</f>
        <v xml:space="preserve"> </v>
      </c>
      <c r="BC22" s="60" t="e">
        <f ca="1">IFERROR(IF(ISNUMBER(BB22),INDEX('1.Locations'!D2:D21,BB22 + 1),NA()),NA())</f>
        <v>#N/A</v>
      </c>
      <c r="BD22" s="60" t="e">
        <f ca="1">IFERROR(IF(ISNUMBER(BB22),INDEX('1.Locations'!E2:E21,BB22 + 1),NA()),NA())</f>
        <v>#N/A</v>
      </c>
      <c r="BE22" s="61" t="str">
        <f ca="1">IFERROR(IF(ISNUMBER(BB22),INDEX('2.Distances'!C2:C401,BB21*20+BB22+ 1) +BE21," ")," ")</f>
        <v xml:space="preserve"> </v>
      </c>
      <c r="BF22" s="62" t="str">
        <f ca="1">IFERROR(IF(ISNUMBER(BB22),'3.Vehicles'!F2 * INDEX('2.Distances'!D2:D401,BB21*20+BB22 + 1) +BF21," ")," ")</f>
        <v xml:space="preserve"> </v>
      </c>
      <c r="BG22" s="63" t="str">
        <f ca="1">IFERROR(IF(ISNUMBER(BB22),'3.Vehicles'!F2 * INDEX('2.Distances'!D2:D401,BB21*20+BB22 + 1) +BH21," ")," ")</f>
        <v xml:space="preserve"> </v>
      </c>
      <c r="BH22" s="63" t="str">
        <f ca="1">IFERROR(IF(AND(BB5&lt;&gt;BB22,ISNUMBER(BG22)),INDEX('1.Locations'!I2:I21,BB22 + 1) + MAX(BG22,INDEX('1.Locations'!F2:F21,BB22 + 1))," ")," ")</f>
        <v xml:space="preserve"> </v>
      </c>
      <c r="BI22" s="62" t="str">
        <f ca="1">IFERROR(IF(AND(BA22 = BA5, BA23 = ""), BG22 - BH5, BH22 - BH5)," ")</f>
        <v xml:space="preserve"> </v>
      </c>
      <c r="BJ22" s="60" t="str">
        <f ca="1">IFERROR(IF(ISNUMBER(BB22),INDEX('1.Locations'!L2:L21,BB22 + 1) + BJ21," ")," ")</f>
        <v xml:space="preserve"> </v>
      </c>
      <c r="BK22" s="61" t="str">
        <f ca="1">IFERROR(IF(ISNUMBER(BB22),INDEX('1.Locations'!J2:J21,BB22 + 1)," ")," ")</f>
        <v xml:space="preserve"> </v>
      </c>
      <c r="BL22" s="61" t="str">
        <f ca="1">IFERROR(IF(ISNUMBER(BB22),INDEX('1.Locations'!K2:K21,BB22 + 1)," ")," ")</f>
        <v xml:space="preserve"> </v>
      </c>
      <c r="BM22" s="61" t="str">
        <f ca="1">IFERROR(IF(ISNUMBER(BB22),IF(BA22 = BA5, 0, BK22 + BM21)," ")," ")</f>
        <v xml:space="preserve"> </v>
      </c>
      <c r="BN22" s="61" t="str">
        <f ca="1">IFERROR(IF(ISNUMBER(BB22),IF(BA23 = BA5, 0, IF(BA23 = "", 0, BN23 + BL23))," ")," ")</f>
        <v xml:space="preserve"> </v>
      </c>
      <c r="BO22" s="60" t="str">
        <f ca="1">IFERROR(IF(ISNUMBER(BB22),BM22 + BN22," ")," ")</f>
        <v xml:space="preserve"> </v>
      </c>
      <c r="BQ22" s="16">
        <v>17</v>
      </c>
      <c r="BR22" s="59"/>
      <c r="BS22" s="60" t="str">
        <f ca="1">IFERROR(MATCH(INDIRECT("BR22"),'1.Locations'!B2:B21, 0) - 1," ")</f>
        <v xml:space="preserve"> </v>
      </c>
      <c r="BT22" s="60" t="e">
        <f ca="1">IFERROR(IF(ISNUMBER(BS22),INDEX('1.Locations'!D2:D21,BS22 + 1),NA()),NA())</f>
        <v>#N/A</v>
      </c>
      <c r="BU22" s="60" t="e">
        <f ca="1">IFERROR(IF(ISNUMBER(BS22),INDEX('1.Locations'!E2:E21,BS22 + 1),NA()),NA())</f>
        <v>#N/A</v>
      </c>
      <c r="BV22" s="61" t="str">
        <f ca="1">IFERROR(IF(ISNUMBER(BS22),INDEX('2.Distances'!C2:C401,BS21*20+BS22+ 1) +BV21," ")," ")</f>
        <v xml:space="preserve"> </v>
      </c>
      <c r="BW22" s="62" t="str">
        <f ca="1">IFERROR(IF(ISNUMBER(BS22),'3.Vehicles'!F2 * INDEX('2.Distances'!D2:D401,BS21*20+BS22 + 1) +BW21," ")," ")</f>
        <v xml:space="preserve"> </v>
      </c>
      <c r="BX22" s="63" t="str">
        <f ca="1">IFERROR(IF(ISNUMBER(BS22),'3.Vehicles'!F2 * INDEX('2.Distances'!D2:D401,BS21*20+BS22 + 1) +BY21," ")," ")</f>
        <v xml:space="preserve"> </v>
      </c>
      <c r="BY22" s="63" t="str">
        <f ca="1">IFERROR(IF(AND(BS5&lt;&gt;BS22,ISNUMBER(BX22)),INDEX('1.Locations'!I2:I21,BS22 + 1) + MAX(BX22,INDEX('1.Locations'!F2:F21,BS22 + 1))," ")," ")</f>
        <v xml:space="preserve"> </v>
      </c>
      <c r="BZ22" s="62" t="str">
        <f ca="1">IFERROR(IF(AND(BR22 = BR5, BR23 = ""), BX22 - BY5, BY22 - BY5)," ")</f>
        <v xml:space="preserve"> </v>
      </c>
      <c r="CA22" s="60" t="str">
        <f ca="1">IFERROR(IF(ISNUMBER(BS22),INDEX('1.Locations'!L2:L21,BS22 + 1) + CA21," ")," ")</f>
        <v xml:space="preserve"> </v>
      </c>
      <c r="CB22" s="61" t="str">
        <f ca="1">IFERROR(IF(ISNUMBER(BS22),INDEX('1.Locations'!J2:J21,BS22 + 1)," ")," ")</f>
        <v xml:space="preserve"> </v>
      </c>
      <c r="CC22" s="61" t="str">
        <f ca="1">IFERROR(IF(ISNUMBER(BS22),INDEX('1.Locations'!K2:K21,BS22 + 1)," ")," ")</f>
        <v xml:space="preserve"> </v>
      </c>
      <c r="CD22" s="61" t="str">
        <f ca="1">IFERROR(IF(ISNUMBER(BS22),IF(BR22 = BR5, 0, CB22 + CD21)," ")," ")</f>
        <v xml:space="preserve"> </v>
      </c>
      <c r="CE22" s="61" t="str">
        <f ca="1">IFERROR(IF(ISNUMBER(BS22),IF(BR23 = BR5, 0, IF(BR23 = "", 0, CE23 + CC23))," ")," ")</f>
        <v xml:space="preserve"> </v>
      </c>
      <c r="CF22" s="60" t="str">
        <f ca="1">IFERROR(IF(ISNUMBER(BS22),CD22 + CE22," ")," ")</f>
        <v xml:space="preserve"> </v>
      </c>
      <c r="CH22" s="16">
        <v>17</v>
      </c>
      <c r="CI22" s="59"/>
      <c r="CJ22" s="60" t="str">
        <f ca="1">IFERROR(MATCH(INDIRECT("CI22"),'1.Locations'!B2:B21, 0) - 1," ")</f>
        <v xml:space="preserve"> </v>
      </c>
      <c r="CK22" s="60" t="e">
        <f ca="1">IFERROR(IF(ISNUMBER(CJ22),INDEX('1.Locations'!D2:D21,CJ22 + 1),NA()),NA())</f>
        <v>#N/A</v>
      </c>
      <c r="CL22" s="60" t="e">
        <f ca="1">IFERROR(IF(ISNUMBER(CJ22),INDEX('1.Locations'!E2:E21,CJ22 + 1),NA()),NA())</f>
        <v>#N/A</v>
      </c>
      <c r="CM22" s="61" t="str">
        <f ca="1">IFERROR(IF(ISNUMBER(CJ22),INDEX('2.Distances'!C2:C401,CJ21*20+CJ22+ 1) +CM21," ")," ")</f>
        <v xml:space="preserve"> </v>
      </c>
      <c r="CN22" s="62" t="str">
        <f ca="1">IFERROR(IF(ISNUMBER(CJ22),'3.Vehicles'!F2 * INDEX('2.Distances'!D2:D401,CJ21*20+CJ22 + 1) +CN21," ")," ")</f>
        <v xml:space="preserve"> </v>
      </c>
      <c r="CO22" s="63" t="str">
        <f ca="1">IFERROR(IF(ISNUMBER(CJ22),'3.Vehicles'!F2 * INDEX('2.Distances'!D2:D401,CJ21*20+CJ22 + 1) +CP21," ")," ")</f>
        <v xml:space="preserve"> </v>
      </c>
      <c r="CP22" s="63" t="str">
        <f ca="1">IFERROR(IF(AND(CJ5&lt;&gt;CJ22,ISNUMBER(CO22)),INDEX('1.Locations'!I2:I21,CJ22 + 1) + MAX(CO22,INDEX('1.Locations'!F2:F21,CJ22 + 1))," ")," ")</f>
        <v xml:space="preserve"> </v>
      </c>
      <c r="CQ22" s="62" t="str">
        <f ca="1">IFERROR(IF(AND(CI22 = CI5, CI23 = ""), CO22 - CP5, CP22 - CP5)," ")</f>
        <v xml:space="preserve"> </v>
      </c>
      <c r="CR22" s="60" t="str">
        <f ca="1">IFERROR(IF(ISNUMBER(CJ22),INDEX('1.Locations'!L2:L21,CJ22 + 1) + CR21," ")," ")</f>
        <v xml:space="preserve"> </v>
      </c>
      <c r="CS22" s="61" t="str">
        <f ca="1">IFERROR(IF(ISNUMBER(CJ22),INDEX('1.Locations'!J2:J21,CJ22 + 1)," ")," ")</f>
        <v xml:space="preserve"> </v>
      </c>
      <c r="CT22" s="61" t="str">
        <f ca="1">IFERROR(IF(ISNUMBER(CJ22),INDEX('1.Locations'!K2:K21,CJ22 + 1)," ")," ")</f>
        <v xml:space="preserve"> </v>
      </c>
      <c r="CU22" s="61" t="str">
        <f ca="1">IFERROR(IF(ISNUMBER(CJ22),IF(CI22 = CI5, 0, CS22 + CU21)," ")," ")</f>
        <v xml:space="preserve"> </v>
      </c>
      <c r="CV22" s="61" t="str">
        <f ca="1">IFERROR(IF(ISNUMBER(CJ22),IF(CI23 = CI5, 0, IF(CI23 = "", 0, CV23 + CT23))," ")," ")</f>
        <v xml:space="preserve"> </v>
      </c>
      <c r="CW22" s="60" t="str">
        <f ca="1">IFERROR(IF(ISNUMBER(CJ22),CU22 + CV22," ")," ")</f>
        <v xml:space="preserve"> </v>
      </c>
      <c r="CY22" s="16">
        <v>17</v>
      </c>
      <c r="CZ22" s="59"/>
      <c r="DA22" s="60" t="str">
        <f ca="1">IFERROR(MATCH(INDIRECT("CZ22"),'1.Locations'!B2:B21, 0) - 1," ")</f>
        <v xml:space="preserve"> </v>
      </c>
      <c r="DB22" s="60" t="e">
        <f ca="1">IFERROR(IF(ISNUMBER(DA22),INDEX('1.Locations'!D2:D21,DA22 + 1),NA()),NA())</f>
        <v>#N/A</v>
      </c>
      <c r="DC22" s="60" t="e">
        <f ca="1">IFERROR(IF(ISNUMBER(DA22),INDEX('1.Locations'!E2:E21,DA22 + 1),NA()),NA())</f>
        <v>#N/A</v>
      </c>
      <c r="DD22" s="61" t="str">
        <f ca="1">IFERROR(IF(ISNUMBER(DA22),INDEX('2.Distances'!C2:C401,DA21*20+DA22+ 1) +DD21," ")," ")</f>
        <v xml:space="preserve"> </v>
      </c>
      <c r="DE22" s="62" t="str">
        <f ca="1">IFERROR(IF(ISNUMBER(DA22),'3.Vehicles'!F2 * INDEX('2.Distances'!D2:D401,DA21*20+DA22 + 1) +DE21," ")," ")</f>
        <v xml:space="preserve"> </v>
      </c>
      <c r="DF22" s="63" t="str">
        <f ca="1">IFERROR(IF(ISNUMBER(DA22),'3.Vehicles'!F2 * INDEX('2.Distances'!D2:D401,DA21*20+DA22 + 1) +DG21," ")," ")</f>
        <v xml:space="preserve"> </v>
      </c>
      <c r="DG22" s="63" t="str">
        <f ca="1">IFERROR(IF(AND(DA5&lt;&gt;DA22,ISNUMBER(DF22)),INDEX('1.Locations'!I2:I21,DA22 + 1) + MAX(DF22,INDEX('1.Locations'!F2:F21,DA22 + 1))," ")," ")</f>
        <v xml:space="preserve"> </v>
      </c>
      <c r="DH22" s="62" t="str">
        <f ca="1">IFERROR(IF(AND(CZ22 = CZ5, CZ23 = ""), DF22 - DG5, DG22 - DG5)," ")</f>
        <v xml:space="preserve"> </v>
      </c>
      <c r="DI22" s="60" t="str">
        <f ca="1">IFERROR(IF(ISNUMBER(DA22),INDEX('1.Locations'!L2:L21,DA22 + 1) + DI21," ")," ")</f>
        <v xml:space="preserve"> </v>
      </c>
      <c r="DJ22" s="61" t="str">
        <f ca="1">IFERROR(IF(ISNUMBER(DA22),INDEX('1.Locations'!J2:J21,DA22 + 1)," ")," ")</f>
        <v xml:space="preserve"> </v>
      </c>
      <c r="DK22" s="61" t="str">
        <f ca="1">IFERROR(IF(ISNUMBER(DA22),INDEX('1.Locations'!K2:K21,DA22 + 1)," ")," ")</f>
        <v xml:space="preserve"> </v>
      </c>
      <c r="DL22" s="61" t="str">
        <f ca="1">IFERROR(IF(ISNUMBER(DA22),IF(CZ22 = CZ5, 0, DJ22 + DL21)," ")," ")</f>
        <v xml:space="preserve"> </v>
      </c>
      <c r="DM22" s="61" t="str">
        <f ca="1">IFERROR(IF(ISNUMBER(DA22),IF(CZ23 = CZ5, 0, IF(CZ23 = "", 0, DM23 + DK23))," ")," ")</f>
        <v xml:space="preserve"> </v>
      </c>
      <c r="DN22" s="60" t="str">
        <f ca="1">IFERROR(IF(ISNUMBER(DA22),DL22 + DM22," ")," ")</f>
        <v xml:space="preserve"> </v>
      </c>
      <c r="DP22" s="16">
        <v>17</v>
      </c>
      <c r="DQ22" s="59"/>
      <c r="DR22" s="60" t="str">
        <f ca="1">IFERROR(MATCH(INDIRECT("DQ22"),'1.Locations'!B2:B21, 0) - 1," ")</f>
        <v xml:space="preserve"> </v>
      </c>
      <c r="DS22" s="60" t="e">
        <f ca="1">IFERROR(IF(ISNUMBER(DR22),INDEX('1.Locations'!D2:D21,DR22 + 1),NA()),NA())</f>
        <v>#N/A</v>
      </c>
      <c r="DT22" s="60" t="e">
        <f ca="1">IFERROR(IF(ISNUMBER(DR22),INDEX('1.Locations'!E2:E21,DR22 + 1),NA()),NA())</f>
        <v>#N/A</v>
      </c>
      <c r="DU22" s="61" t="str">
        <f ca="1">IFERROR(IF(ISNUMBER(DR22),INDEX('2.Distances'!C2:C401,DR21*20+DR22+ 1) +DU21," ")," ")</f>
        <v xml:space="preserve"> </v>
      </c>
      <c r="DV22" s="62" t="str">
        <f ca="1">IFERROR(IF(ISNUMBER(DR22),'3.Vehicles'!F2 * INDEX('2.Distances'!D2:D401,DR21*20+DR22 + 1) +DV21," ")," ")</f>
        <v xml:space="preserve"> </v>
      </c>
      <c r="DW22" s="63" t="str">
        <f ca="1">IFERROR(IF(ISNUMBER(DR22),'3.Vehicles'!F2 * INDEX('2.Distances'!D2:D401,DR21*20+DR22 + 1) +DX21," ")," ")</f>
        <v xml:space="preserve"> </v>
      </c>
      <c r="DX22" s="63" t="str">
        <f ca="1">IFERROR(IF(AND(DR5&lt;&gt;DR22,ISNUMBER(DW22)),INDEX('1.Locations'!I2:I21,DR22 + 1) + MAX(DW22,INDEX('1.Locations'!F2:F21,DR22 + 1))," ")," ")</f>
        <v xml:space="preserve"> </v>
      </c>
      <c r="DY22" s="62" t="str">
        <f ca="1">IFERROR(IF(AND(DQ22 = DQ5, DQ23 = ""), DW22 - DX5, DX22 - DX5)," ")</f>
        <v xml:space="preserve"> </v>
      </c>
      <c r="DZ22" s="60" t="str">
        <f ca="1">IFERROR(IF(ISNUMBER(DR22),INDEX('1.Locations'!L2:L21,DR22 + 1) + DZ21," ")," ")</f>
        <v xml:space="preserve"> </v>
      </c>
      <c r="EA22" s="61" t="str">
        <f ca="1">IFERROR(IF(ISNUMBER(DR22),INDEX('1.Locations'!J2:J21,DR22 + 1)," ")," ")</f>
        <v xml:space="preserve"> </v>
      </c>
      <c r="EB22" s="61" t="str">
        <f ca="1">IFERROR(IF(ISNUMBER(DR22),INDEX('1.Locations'!K2:K21,DR22 + 1)," ")," ")</f>
        <v xml:space="preserve"> </v>
      </c>
      <c r="EC22" s="61" t="str">
        <f ca="1">IFERROR(IF(ISNUMBER(DR22),IF(DQ22 = DQ5, 0, EA22 + EC21)," ")," ")</f>
        <v xml:space="preserve"> </v>
      </c>
      <c r="ED22" s="61" t="str">
        <f ca="1">IFERROR(IF(ISNUMBER(DR22),IF(DQ23 = DQ5, 0, IF(DQ23 = "", 0, ED23 + EB23))," ")," ")</f>
        <v xml:space="preserve"> </v>
      </c>
      <c r="EE22" s="60" t="str">
        <f ca="1">IFERROR(IF(ISNUMBER(DR22),EC22 + ED22," ")," ")</f>
        <v xml:space="preserve"> </v>
      </c>
      <c r="EG22" s="16">
        <v>17</v>
      </c>
      <c r="EH22" s="59"/>
      <c r="EI22" s="60" t="str">
        <f ca="1">IFERROR(MATCH(INDIRECT("EH22"),'1.Locations'!B2:B21, 0) - 1," ")</f>
        <v xml:space="preserve"> </v>
      </c>
      <c r="EJ22" s="60" t="e">
        <f ca="1">IFERROR(IF(ISNUMBER(EI22),INDEX('1.Locations'!D2:D21,EI22 + 1),NA()),NA())</f>
        <v>#N/A</v>
      </c>
      <c r="EK22" s="60" t="e">
        <f ca="1">IFERROR(IF(ISNUMBER(EI22),INDEX('1.Locations'!E2:E21,EI22 + 1),NA()),NA())</f>
        <v>#N/A</v>
      </c>
      <c r="EL22" s="61" t="str">
        <f ca="1">IFERROR(IF(ISNUMBER(EI22),INDEX('2.Distances'!C2:C401,EI21*20+EI22+ 1) +EL21," ")," ")</f>
        <v xml:space="preserve"> </v>
      </c>
      <c r="EM22" s="62" t="str">
        <f ca="1">IFERROR(IF(ISNUMBER(EI22),'3.Vehicles'!F2 * INDEX('2.Distances'!D2:D401,EI21*20+EI22 + 1) +EM21," ")," ")</f>
        <v xml:space="preserve"> </v>
      </c>
      <c r="EN22" s="63" t="str">
        <f ca="1">IFERROR(IF(ISNUMBER(EI22),'3.Vehicles'!F2 * INDEX('2.Distances'!D2:D401,EI21*20+EI22 + 1) +EO21," ")," ")</f>
        <v xml:space="preserve"> </v>
      </c>
      <c r="EO22" s="63" t="str">
        <f ca="1">IFERROR(IF(AND(EI5&lt;&gt;EI22,ISNUMBER(EN22)),INDEX('1.Locations'!I2:I21,EI22 + 1) + MAX(EN22,INDEX('1.Locations'!F2:F21,EI22 + 1))," ")," ")</f>
        <v xml:space="preserve"> </v>
      </c>
      <c r="EP22" s="62" t="str">
        <f ca="1">IFERROR(IF(AND(EH22 = EH5, EH23 = ""), EN22 - EO5, EO22 - EO5)," ")</f>
        <v xml:space="preserve"> </v>
      </c>
      <c r="EQ22" s="60" t="str">
        <f ca="1">IFERROR(IF(ISNUMBER(EI22),INDEX('1.Locations'!L2:L21,EI22 + 1) + EQ21," ")," ")</f>
        <v xml:space="preserve"> </v>
      </c>
      <c r="ER22" s="61" t="str">
        <f ca="1">IFERROR(IF(ISNUMBER(EI22),INDEX('1.Locations'!J2:J21,EI22 + 1)," ")," ")</f>
        <v xml:space="preserve"> </v>
      </c>
      <c r="ES22" s="61" t="str">
        <f ca="1">IFERROR(IF(ISNUMBER(EI22),INDEX('1.Locations'!K2:K21,EI22 + 1)," ")," ")</f>
        <v xml:space="preserve"> </v>
      </c>
      <c r="ET22" s="61" t="str">
        <f ca="1">IFERROR(IF(ISNUMBER(EI22),IF(EH22 = EH5, 0, ER22 + ET21)," ")," ")</f>
        <v xml:space="preserve"> </v>
      </c>
      <c r="EU22" s="61" t="str">
        <f ca="1">IFERROR(IF(ISNUMBER(EI22),IF(EH23 = EH5, 0, IF(EH23 = "", 0, EU23 + ES23))," ")," ")</f>
        <v xml:space="preserve"> </v>
      </c>
      <c r="EV22" s="60" t="str">
        <f ca="1">IFERROR(IF(ISNUMBER(EI22),ET22 + EU22," ")," ")</f>
        <v xml:space="preserve"> </v>
      </c>
      <c r="EX22" s="16">
        <v>17</v>
      </c>
      <c r="EY22" s="59"/>
      <c r="EZ22" s="60" t="str">
        <f ca="1">IFERROR(MATCH(INDIRECT("EY22"),'1.Locations'!B2:B21, 0) - 1," ")</f>
        <v xml:space="preserve"> </v>
      </c>
      <c r="FA22" s="60" t="e">
        <f ca="1">IFERROR(IF(ISNUMBER(EZ22),INDEX('1.Locations'!D2:D21,EZ22 + 1),NA()),NA())</f>
        <v>#N/A</v>
      </c>
      <c r="FB22" s="60" t="e">
        <f ca="1">IFERROR(IF(ISNUMBER(EZ22),INDEX('1.Locations'!E2:E21,EZ22 + 1),NA()),NA())</f>
        <v>#N/A</v>
      </c>
      <c r="FC22" s="61" t="str">
        <f ca="1">IFERROR(IF(ISNUMBER(EZ22),INDEX('2.Distances'!C2:C401,EZ21*20+EZ22+ 1) +FC21," ")," ")</f>
        <v xml:space="preserve"> </v>
      </c>
      <c r="FD22" s="62" t="str">
        <f ca="1">IFERROR(IF(ISNUMBER(EZ22),'3.Vehicles'!F2 * INDEX('2.Distances'!D2:D401,EZ21*20+EZ22 + 1) +FD21," ")," ")</f>
        <v xml:space="preserve"> </v>
      </c>
      <c r="FE22" s="63" t="str">
        <f ca="1">IFERROR(IF(ISNUMBER(EZ22),'3.Vehicles'!F2 * INDEX('2.Distances'!D2:D401,EZ21*20+EZ22 + 1) +FF21," ")," ")</f>
        <v xml:space="preserve"> </v>
      </c>
      <c r="FF22" s="63" t="str">
        <f ca="1">IFERROR(IF(AND(EZ5&lt;&gt;EZ22,ISNUMBER(FE22)),INDEX('1.Locations'!I2:I21,EZ22 + 1) + MAX(FE22,INDEX('1.Locations'!F2:F21,EZ22 + 1))," ")," ")</f>
        <v xml:space="preserve"> </v>
      </c>
      <c r="FG22" s="62" t="str">
        <f ca="1">IFERROR(IF(AND(EY22 = EY5, EY23 = ""), FE22 - FF5, FF22 - FF5)," ")</f>
        <v xml:space="preserve"> </v>
      </c>
      <c r="FH22" s="60" t="str">
        <f ca="1">IFERROR(IF(ISNUMBER(EZ22),INDEX('1.Locations'!L2:L21,EZ22 + 1) + FH21," ")," ")</f>
        <v xml:space="preserve"> </v>
      </c>
      <c r="FI22" s="61" t="str">
        <f ca="1">IFERROR(IF(ISNUMBER(EZ22),INDEX('1.Locations'!J2:J21,EZ22 + 1)," ")," ")</f>
        <v xml:space="preserve"> </v>
      </c>
      <c r="FJ22" s="61" t="str">
        <f ca="1">IFERROR(IF(ISNUMBER(EZ22),INDEX('1.Locations'!K2:K21,EZ22 + 1)," ")," ")</f>
        <v xml:space="preserve"> </v>
      </c>
      <c r="FK22" s="61" t="str">
        <f ca="1">IFERROR(IF(ISNUMBER(EZ22),IF(EY22 = EY5, 0, FI22 + FK21)," ")," ")</f>
        <v xml:space="preserve"> </v>
      </c>
      <c r="FL22" s="61" t="str">
        <f ca="1">IFERROR(IF(ISNUMBER(EZ22),IF(EY23 = EY5, 0, IF(EY23 = "", 0, FL23 + FJ23))," ")," ")</f>
        <v xml:space="preserve"> </v>
      </c>
      <c r="FM22" s="60" t="str">
        <f ca="1">IFERROR(IF(ISNUMBER(EZ22),FK22 + FL22," ")," ")</f>
        <v xml:space="preserve"> </v>
      </c>
    </row>
    <row r="23" spans="1:169" x14ac:dyDescent="0.3">
      <c r="A23" s="16">
        <v>18</v>
      </c>
      <c r="B23" s="65"/>
      <c r="C23" s="60" t="str">
        <f ca="1">IFERROR(MATCH(INDIRECT("B23"),'1.Locations'!B2:B21, 0) - 1," ")</f>
        <v xml:space="preserve"> </v>
      </c>
      <c r="D23" s="60" t="e">
        <f ca="1">IFERROR(IF(ISNUMBER(C23),INDEX('1.Locations'!D2:D21,C23 + 1),NA()),NA())</f>
        <v>#N/A</v>
      </c>
      <c r="E23" s="60" t="e">
        <f ca="1">IFERROR(IF(ISNUMBER(C23),INDEX('1.Locations'!E2:E21,C23 + 1),NA()),NA())</f>
        <v>#N/A</v>
      </c>
      <c r="F23" s="61" t="str">
        <f ca="1">IFERROR(IF(ISNUMBER(C23),INDEX('2.Distances'!C2:C401,C22*20+C23+ 1) +F22," ")," ")</f>
        <v xml:space="preserve"> </v>
      </c>
      <c r="G23" s="62" t="str">
        <f ca="1">IFERROR(IF(ISNUMBER(C23),'3.Vehicles'!F2 * INDEX('2.Distances'!D2:D401,C22*20+C23 + 1) +G22," ")," ")</f>
        <v xml:space="preserve"> </v>
      </c>
      <c r="H23" s="63" t="str">
        <f ca="1">IFERROR(IF(ISNUMBER(C23),'3.Vehicles'!F2 * INDEX('2.Distances'!D2:D401,C22*20+C23 + 1) +I22," ")," ")</f>
        <v xml:space="preserve"> </v>
      </c>
      <c r="I23" s="63" t="str">
        <f ca="1">IFERROR(IF(AND(C5&lt;&gt;C23,ISNUMBER(H23)),INDEX('1.Locations'!I2:I21,C23 + 1) + MAX(H23,INDEX('1.Locations'!F2:F21,C23 + 1))," ")," ")</f>
        <v xml:space="preserve"> </v>
      </c>
      <c r="J23" s="62" t="str">
        <f ca="1">IFERROR(IF(AND(B23 = B5, B24 = ""), H23 - I5, I23 - I5)," ")</f>
        <v xml:space="preserve"> </v>
      </c>
      <c r="K23" s="60" t="str">
        <f ca="1">IFERROR(IF(ISNUMBER(C23),INDEX('1.Locations'!L2:L21,C23 + 1) + K22," ")," ")</f>
        <v xml:space="preserve"> </v>
      </c>
      <c r="L23" s="61" t="str">
        <f ca="1">IFERROR(IF(ISNUMBER(C23),INDEX('1.Locations'!J2:J21,C23 + 1)," ")," ")</f>
        <v xml:space="preserve"> </v>
      </c>
      <c r="M23" s="61" t="str">
        <f ca="1">IFERROR(IF(ISNUMBER(C23),INDEX('1.Locations'!K2:K21,C23 + 1)," ")," ")</f>
        <v xml:space="preserve"> </v>
      </c>
      <c r="N23" s="61" t="str">
        <f ca="1">IFERROR(IF(ISNUMBER(C23),IF(B23 = B5, 0, L23 + N22)," ")," ")</f>
        <v xml:space="preserve"> </v>
      </c>
      <c r="O23" s="61" t="str">
        <f ca="1">IFERROR(IF(ISNUMBER(C23),IF(B24 = B5, 0, IF(B24 = "", 0, O24 + M24))," ")," ")</f>
        <v xml:space="preserve"> </v>
      </c>
      <c r="P23" s="60" t="str">
        <f ca="1">IFERROR(IF(ISNUMBER(C23),N23 + O23," ")," ")</f>
        <v xml:space="preserve"> </v>
      </c>
      <c r="R23" s="16">
        <v>18</v>
      </c>
      <c r="S23" s="65"/>
      <c r="T23" s="60" t="str">
        <f ca="1">IFERROR(MATCH(INDIRECT("S23"),'1.Locations'!B2:B21, 0) - 1," ")</f>
        <v xml:space="preserve"> </v>
      </c>
      <c r="U23" s="60" t="e">
        <f ca="1">IFERROR(IF(ISNUMBER(T23),INDEX('1.Locations'!D2:D21,T23 + 1),NA()),NA())</f>
        <v>#N/A</v>
      </c>
      <c r="V23" s="60" t="e">
        <f ca="1">IFERROR(IF(ISNUMBER(T23),INDEX('1.Locations'!E2:E21,T23 + 1),NA()),NA())</f>
        <v>#N/A</v>
      </c>
      <c r="W23" s="61" t="str">
        <f ca="1">IFERROR(IF(ISNUMBER(T23),INDEX('2.Distances'!C2:C401,T22*20+T23+ 1) +W22," ")," ")</f>
        <v xml:space="preserve"> </v>
      </c>
      <c r="X23" s="62" t="str">
        <f ca="1">IFERROR(IF(ISNUMBER(T23),'3.Vehicles'!F2 * INDEX('2.Distances'!D2:D401,T22*20+T23 + 1) +X22," ")," ")</f>
        <v xml:space="preserve"> </v>
      </c>
      <c r="Y23" s="63" t="str">
        <f ca="1">IFERROR(IF(ISNUMBER(T23),'3.Vehicles'!F2 * INDEX('2.Distances'!D2:D401,T22*20+T23 + 1) +Z22," ")," ")</f>
        <v xml:space="preserve"> </v>
      </c>
      <c r="Z23" s="63" t="str">
        <f ca="1">IFERROR(IF(AND(T5&lt;&gt;T23,ISNUMBER(Y23)),INDEX('1.Locations'!I2:I21,T23 + 1) + MAX(Y23,INDEX('1.Locations'!F2:F21,T23 + 1))," ")," ")</f>
        <v xml:space="preserve"> </v>
      </c>
      <c r="AA23" s="62" t="str">
        <f ca="1">IFERROR(IF(AND(S23 = S5, S24 = ""), Y23 - Z5, Z23 - Z5)," ")</f>
        <v xml:space="preserve"> </v>
      </c>
      <c r="AB23" s="60" t="str">
        <f ca="1">IFERROR(IF(ISNUMBER(T23),INDEX('1.Locations'!L2:L21,T23 + 1) + AB22," ")," ")</f>
        <v xml:space="preserve"> </v>
      </c>
      <c r="AC23" s="61" t="str">
        <f ca="1">IFERROR(IF(ISNUMBER(T23),INDEX('1.Locations'!J2:J21,T23 + 1)," ")," ")</f>
        <v xml:space="preserve"> </v>
      </c>
      <c r="AD23" s="61" t="str">
        <f ca="1">IFERROR(IF(ISNUMBER(T23),INDEX('1.Locations'!K2:K21,T23 + 1)," ")," ")</f>
        <v xml:space="preserve"> </v>
      </c>
      <c r="AE23" s="61" t="str">
        <f ca="1">IFERROR(IF(ISNUMBER(T23),IF(S23 = S5, 0, AC23 + AE22)," ")," ")</f>
        <v xml:space="preserve"> </v>
      </c>
      <c r="AF23" s="61" t="str">
        <f ca="1">IFERROR(IF(ISNUMBER(T23),IF(S24 = S5, 0, IF(S24 = "", 0, AF24 + AD24))," ")," ")</f>
        <v xml:space="preserve"> </v>
      </c>
      <c r="AG23" s="60" t="str">
        <f ca="1">IFERROR(IF(ISNUMBER(T23),AE23 + AF23," ")," ")</f>
        <v xml:space="preserve"> </v>
      </c>
      <c r="AI23" s="16">
        <v>18</v>
      </c>
      <c r="AJ23" s="65"/>
      <c r="AK23" s="60" t="str">
        <f ca="1">IFERROR(MATCH(INDIRECT("AJ23"),'1.Locations'!B2:B21, 0) - 1," ")</f>
        <v xml:space="preserve"> </v>
      </c>
      <c r="AL23" s="60" t="e">
        <f ca="1">IFERROR(IF(ISNUMBER(AK23),INDEX('1.Locations'!D2:D21,AK23 + 1),NA()),NA())</f>
        <v>#N/A</v>
      </c>
      <c r="AM23" s="60" t="e">
        <f ca="1">IFERROR(IF(ISNUMBER(AK23),INDEX('1.Locations'!E2:E21,AK23 + 1),NA()),NA())</f>
        <v>#N/A</v>
      </c>
      <c r="AN23" s="61" t="str">
        <f ca="1">IFERROR(IF(ISNUMBER(AK23),INDEX('2.Distances'!C2:C401,AK22*20+AK23+ 1) +AN22," ")," ")</f>
        <v xml:space="preserve"> </v>
      </c>
      <c r="AO23" s="62" t="str">
        <f ca="1">IFERROR(IF(ISNUMBER(AK23),'3.Vehicles'!F2 * INDEX('2.Distances'!D2:D401,AK22*20+AK23 + 1) +AO22," ")," ")</f>
        <v xml:space="preserve"> </v>
      </c>
      <c r="AP23" s="63" t="str">
        <f ca="1">IFERROR(IF(ISNUMBER(AK23),'3.Vehicles'!F2 * INDEX('2.Distances'!D2:D401,AK22*20+AK23 + 1) +AQ22," ")," ")</f>
        <v xml:space="preserve"> </v>
      </c>
      <c r="AQ23" s="63" t="str">
        <f ca="1">IFERROR(IF(AND(AK5&lt;&gt;AK23,ISNUMBER(AP23)),INDEX('1.Locations'!I2:I21,AK23 + 1) + MAX(AP23,INDEX('1.Locations'!F2:F21,AK23 + 1))," ")," ")</f>
        <v xml:space="preserve"> </v>
      </c>
      <c r="AR23" s="62" t="str">
        <f ca="1">IFERROR(IF(AND(AJ23 = AJ5, AJ24 = ""), AP23 - AQ5, AQ23 - AQ5)," ")</f>
        <v xml:space="preserve"> </v>
      </c>
      <c r="AS23" s="60" t="str">
        <f ca="1">IFERROR(IF(ISNUMBER(AK23),INDEX('1.Locations'!L2:L21,AK23 + 1) + AS22," ")," ")</f>
        <v xml:space="preserve"> </v>
      </c>
      <c r="AT23" s="61" t="str">
        <f ca="1">IFERROR(IF(ISNUMBER(AK23),INDEX('1.Locations'!J2:J21,AK23 + 1)," ")," ")</f>
        <v xml:space="preserve"> </v>
      </c>
      <c r="AU23" s="61" t="str">
        <f ca="1">IFERROR(IF(ISNUMBER(AK23),INDEX('1.Locations'!K2:K21,AK23 + 1)," ")," ")</f>
        <v xml:space="preserve"> </v>
      </c>
      <c r="AV23" s="61" t="str">
        <f ca="1">IFERROR(IF(ISNUMBER(AK23),IF(AJ23 = AJ5, 0, AT23 + AV22)," ")," ")</f>
        <v xml:space="preserve"> </v>
      </c>
      <c r="AW23" s="61" t="str">
        <f ca="1">IFERROR(IF(ISNUMBER(AK23),IF(AJ24 = AJ5, 0, IF(AJ24 = "", 0, AW24 + AU24))," ")," ")</f>
        <v xml:space="preserve"> </v>
      </c>
      <c r="AX23" s="60" t="str">
        <f ca="1">IFERROR(IF(ISNUMBER(AK23),AV23 + AW23," ")," ")</f>
        <v xml:space="preserve"> </v>
      </c>
      <c r="AZ23" s="16">
        <v>18</v>
      </c>
      <c r="BA23" s="65"/>
      <c r="BB23" s="60" t="str">
        <f ca="1">IFERROR(MATCH(INDIRECT("BA23"),'1.Locations'!B2:B21, 0) - 1," ")</f>
        <v xml:space="preserve"> </v>
      </c>
      <c r="BC23" s="60" t="e">
        <f ca="1">IFERROR(IF(ISNUMBER(BB23),INDEX('1.Locations'!D2:D21,BB23 + 1),NA()),NA())</f>
        <v>#N/A</v>
      </c>
      <c r="BD23" s="60" t="e">
        <f ca="1">IFERROR(IF(ISNUMBER(BB23),INDEX('1.Locations'!E2:E21,BB23 + 1),NA()),NA())</f>
        <v>#N/A</v>
      </c>
      <c r="BE23" s="61" t="str">
        <f ca="1">IFERROR(IF(ISNUMBER(BB23),INDEX('2.Distances'!C2:C401,BB22*20+BB23+ 1) +BE22," ")," ")</f>
        <v xml:space="preserve"> </v>
      </c>
      <c r="BF23" s="62" t="str">
        <f ca="1">IFERROR(IF(ISNUMBER(BB23),'3.Vehicles'!F2 * INDEX('2.Distances'!D2:D401,BB22*20+BB23 + 1) +BF22," ")," ")</f>
        <v xml:space="preserve"> </v>
      </c>
      <c r="BG23" s="63" t="str">
        <f ca="1">IFERROR(IF(ISNUMBER(BB23),'3.Vehicles'!F2 * INDEX('2.Distances'!D2:D401,BB22*20+BB23 + 1) +BH22," ")," ")</f>
        <v xml:space="preserve"> </v>
      </c>
      <c r="BH23" s="63" t="str">
        <f ca="1">IFERROR(IF(AND(BB5&lt;&gt;BB23,ISNUMBER(BG23)),INDEX('1.Locations'!I2:I21,BB23 + 1) + MAX(BG23,INDEX('1.Locations'!F2:F21,BB23 + 1))," ")," ")</f>
        <v xml:space="preserve"> </v>
      </c>
      <c r="BI23" s="62" t="str">
        <f ca="1">IFERROR(IF(AND(BA23 = BA5, BA24 = ""), BG23 - BH5, BH23 - BH5)," ")</f>
        <v xml:space="preserve"> </v>
      </c>
      <c r="BJ23" s="60" t="str">
        <f ca="1">IFERROR(IF(ISNUMBER(BB23),INDEX('1.Locations'!L2:L21,BB23 + 1) + BJ22," ")," ")</f>
        <v xml:space="preserve"> </v>
      </c>
      <c r="BK23" s="61" t="str">
        <f ca="1">IFERROR(IF(ISNUMBER(BB23),INDEX('1.Locations'!J2:J21,BB23 + 1)," ")," ")</f>
        <v xml:space="preserve"> </v>
      </c>
      <c r="BL23" s="61" t="str">
        <f ca="1">IFERROR(IF(ISNUMBER(BB23),INDEX('1.Locations'!K2:K21,BB23 + 1)," ")," ")</f>
        <v xml:space="preserve"> </v>
      </c>
      <c r="BM23" s="61" t="str">
        <f ca="1">IFERROR(IF(ISNUMBER(BB23),IF(BA23 = BA5, 0, BK23 + BM22)," ")," ")</f>
        <v xml:space="preserve"> </v>
      </c>
      <c r="BN23" s="61" t="str">
        <f ca="1">IFERROR(IF(ISNUMBER(BB23),IF(BA24 = BA5, 0, IF(BA24 = "", 0, BN24 + BL24))," ")," ")</f>
        <v xml:space="preserve"> </v>
      </c>
      <c r="BO23" s="60" t="str">
        <f ca="1">IFERROR(IF(ISNUMBER(BB23),BM23 + BN23," ")," ")</f>
        <v xml:space="preserve"> </v>
      </c>
      <c r="BQ23" s="16">
        <v>18</v>
      </c>
      <c r="BR23" s="65"/>
      <c r="BS23" s="60" t="str">
        <f ca="1">IFERROR(MATCH(INDIRECT("BR23"),'1.Locations'!B2:B21, 0) - 1," ")</f>
        <v xml:space="preserve"> </v>
      </c>
      <c r="BT23" s="60" t="e">
        <f ca="1">IFERROR(IF(ISNUMBER(BS23),INDEX('1.Locations'!D2:D21,BS23 + 1),NA()),NA())</f>
        <v>#N/A</v>
      </c>
      <c r="BU23" s="60" t="e">
        <f ca="1">IFERROR(IF(ISNUMBER(BS23),INDEX('1.Locations'!E2:E21,BS23 + 1),NA()),NA())</f>
        <v>#N/A</v>
      </c>
      <c r="BV23" s="61" t="str">
        <f ca="1">IFERROR(IF(ISNUMBER(BS23),INDEX('2.Distances'!C2:C401,BS22*20+BS23+ 1) +BV22," ")," ")</f>
        <v xml:space="preserve"> </v>
      </c>
      <c r="BW23" s="62" t="str">
        <f ca="1">IFERROR(IF(ISNUMBER(BS23),'3.Vehicles'!F2 * INDEX('2.Distances'!D2:D401,BS22*20+BS23 + 1) +BW22," ")," ")</f>
        <v xml:space="preserve"> </v>
      </c>
      <c r="BX23" s="63" t="str">
        <f ca="1">IFERROR(IF(ISNUMBER(BS23),'3.Vehicles'!F2 * INDEX('2.Distances'!D2:D401,BS22*20+BS23 + 1) +BY22," ")," ")</f>
        <v xml:space="preserve"> </v>
      </c>
      <c r="BY23" s="63" t="str">
        <f ca="1">IFERROR(IF(AND(BS5&lt;&gt;BS23,ISNUMBER(BX23)),INDEX('1.Locations'!I2:I21,BS23 + 1) + MAX(BX23,INDEX('1.Locations'!F2:F21,BS23 + 1))," ")," ")</f>
        <v xml:space="preserve"> </v>
      </c>
      <c r="BZ23" s="62" t="str">
        <f ca="1">IFERROR(IF(AND(BR23 = BR5, BR24 = ""), BX23 - BY5, BY23 - BY5)," ")</f>
        <v xml:space="preserve"> </v>
      </c>
      <c r="CA23" s="60" t="str">
        <f ca="1">IFERROR(IF(ISNUMBER(BS23),INDEX('1.Locations'!L2:L21,BS23 + 1) + CA22," ")," ")</f>
        <v xml:space="preserve"> </v>
      </c>
      <c r="CB23" s="61" t="str">
        <f ca="1">IFERROR(IF(ISNUMBER(BS23),INDEX('1.Locations'!J2:J21,BS23 + 1)," ")," ")</f>
        <v xml:space="preserve"> </v>
      </c>
      <c r="CC23" s="61" t="str">
        <f ca="1">IFERROR(IF(ISNUMBER(BS23),INDEX('1.Locations'!K2:K21,BS23 + 1)," ")," ")</f>
        <v xml:space="preserve"> </v>
      </c>
      <c r="CD23" s="61" t="str">
        <f ca="1">IFERROR(IF(ISNUMBER(BS23),IF(BR23 = BR5, 0, CB23 + CD22)," ")," ")</f>
        <v xml:space="preserve"> </v>
      </c>
      <c r="CE23" s="61" t="str">
        <f ca="1">IFERROR(IF(ISNUMBER(BS23),IF(BR24 = BR5, 0, IF(BR24 = "", 0, CE24 + CC24))," ")," ")</f>
        <v xml:space="preserve"> </v>
      </c>
      <c r="CF23" s="60" t="str">
        <f ca="1">IFERROR(IF(ISNUMBER(BS23),CD23 + CE23," ")," ")</f>
        <v xml:space="preserve"> </v>
      </c>
      <c r="CH23" s="16">
        <v>18</v>
      </c>
      <c r="CI23" s="65"/>
      <c r="CJ23" s="60" t="str">
        <f ca="1">IFERROR(MATCH(INDIRECT("CI23"),'1.Locations'!B2:B21, 0) - 1," ")</f>
        <v xml:space="preserve"> </v>
      </c>
      <c r="CK23" s="60" t="e">
        <f ca="1">IFERROR(IF(ISNUMBER(CJ23),INDEX('1.Locations'!D2:D21,CJ23 + 1),NA()),NA())</f>
        <v>#N/A</v>
      </c>
      <c r="CL23" s="60" t="e">
        <f ca="1">IFERROR(IF(ISNUMBER(CJ23),INDEX('1.Locations'!E2:E21,CJ23 + 1),NA()),NA())</f>
        <v>#N/A</v>
      </c>
      <c r="CM23" s="61" t="str">
        <f ca="1">IFERROR(IF(ISNUMBER(CJ23),INDEX('2.Distances'!C2:C401,CJ22*20+CJ23+ 1) +CM22," ")," ")</f>
        <v xml:space="preserve"> </v>
      </c>
      <c r="CN23" s="62" t="str">
        <f ca="1">IFERROR(IF(ISNUMBER(CJ23),'3.Vehicles'!F2 * INDEX('2.Distances'!D2:D401,CJ22*20+CJ23 + 1) +CN22," ")," ")</f>
        <v xml:space="preserve"> </v>
      </c>
      <c r="CO23" s="63" t="str">
        <f ca="1">IFERROR(IF(ISNUMBER(CJ23),'3.Vehicles'!F2 * INDEX('2.Distances'!D2:D401,CJ22*20+CJ23 + 1) +CP22," ")," ")</f>
        <v xml:space="preserve"> </v>
      </c>
      <c r="CP23" s="63" t="str">
        <f ca="1">IFERROR(IF(AND(CJ5&lt;&gt;CJ23,ISNUMBER(CO23)),INDEX('1.Locations'!I2:I21,CJ23 + 1) + MAX(CO23,INDEX('1.Locations'!F2:F21,CJ23 + 1))," ")," ")</f>
        <v xml:space="preserve"> </v>
      </c>
      <c r="CQ23" s="62" t="str">
        <f ca="1">IFERROR(IF(AND(CI23 = CI5, CI24 = ""), CO23 - CP5, CP23 - CP5)," ")</f>
        <v xml:space="preserve"> </v>
      </c>
      <c r="CR23" s="60" t="str">
        <f ca="1">IFERROR(IF(ISNUMBER(CJ23),INDEX('1.Locations'!L2:L21,CJ23 + 1) + CR22," ")," ")</f>
        <v xml:space="preserve"> </v>
      </c>
      <c r="CS23" s="61" t="str">
        <f ca="1">IFERROR(IF(ISNUMBER(CJ23),INDEX('1.Locations'!J2:J21,CJ23 + 1)," ")," ")</f>
        <v xml:space="preserve"> </v>
      </c>
      <c r="CT23" s="61" t="str">
        <f ca="1">IFERROR(IF(ISNUMBER(CJ23),INDEX('1.Locations'!K2:K21,CJ23 + 1)," ")," ")</f>
        <v xml:space="preserve"> </v>
      </c>
      <c r="CU23" s="61" t="str">
        <f ca="1">IFERROR(IF(ISNUMBER(CJ23),IF(CI23 = CI5, 0, CS23 + CU22)," ")," ")</f>
        <v xml:space="preserve"> </v>
      </c>
      <c r="CV23" s="61" t="str">
        <f ca="1">IFERROR(IF(ISNUMBER(CJ23),IF(CI24 = CI5, 0, IF(CI24 = "", 0, CV24 + CT24))," ")," ")</f>
        <v xml:space="preserve"> </v>
      </c>
      <c r="CW23" s="60" t="str">
        <f ca="1">IFERROR(IF(ISNUMBER(CJ23),CU23 + CV23," ")," ")</f>
        <v xml:space="preserve"> </v>
      </c>
      <c r="CY23" s="16">
        <v>18</v>
      </c>
      <c r="CZ23" s="65"/>
      <c r="DA23" s="60" t="str">
        <f ca="1">IFERROR(MATCH(INDIRECT("CZ23"),'1.Locations'!B2:B21, 0) - 1," ")</f>
        <v xml:space="preserve"> </v>
      </c>
      <c r="DB23" s="60" t="e">
        <f ca="1">IFERROR(IF(ISNUMBER(DA23),INDEX('1.Locations'!D2:D21,DA23 + 1),NA()),NA())</f>
        <v>#N/A</v>
      </c>
      <c r="DC23" s="60" t="e">
        <f ca="1">IFERROR(IF(ISNUMBER(DA23),INDEX('1.Locations'!E2:E21,DA23 + 1),NA()),NA())</f>
        <v>#N/A</v>
      </c>
      <c r="DD23" s="61" t="str">
        <f ca="1">IFERROR(IF(ISNUMBER(DA23),INDEX('2.Distances'!C2:C401,DA22*20+DA23+ 1) +DD22," ")," ")</f>
        <v xml:space="preserve"> </v>
      </c>
      <c r="DE23" s="62" t="str">
        <f ca="1">IFERROR(IF(ISNUMBER(DA23),'3.Vehicles'!F2 * INDEX('2.Distances'!D2:D401,DA22*20+DA23 + 1) +DE22," ")," ")</f>
        <v xml:space="preserve"> </v>
      </c>
      <c r="DF23" s="63" t="str">
        <f ca="1">IFERROR(IF(ISNUMBER(DA23),'3.Vehicles'!F2 * INDEX('2.Distances'!D2:D401,DA22*20+DA23 + 1) +DG22," ")," ")</f>
        <v xml:space="preserve"> </v>
      </c>
      <c r="DG23" s="63" t="str">
        <f ca="1">IFERROR(IF(AND(DA5&lt;&gt;DA23,ISNUMBER(DF23)),INDEX('1.Locations'!I2:I21,DA23 + 1) + MAX(DF23,INDEX('1.Locations'!F2:F21,DA23 + 1))," ")," ")</f>
        <v xml:space="preserve"> </v>
      </c>
      <c r="DH23" s="62" t="str">
        <f ca="1">IFERROR(IF(AND(CZ23 = CZ5, CZ24 = ""), DF23 - DG5, DG23 - DG5)," ")</f>
        <v xml:space="preserve"> </v>
      </c>
      <c r="DI23" s="60" t="str">
        <f ca="1">IFERROR(IF(ISNUMBER(DA23),INDEX('1.Locations'!L2:L21,DA23 + 1) + DI22," ")," ")</f>
        <v xml:space="preserve"> </v>
      </c>
      <c r="DJ23" s="61" t="str">
        <f ca="1">IFERROR(IF(ISNUMBER(DA23),INDEX('1.Locations'!J2:J21,DA23 + 1)," ")," ")</f>
        <v xml:space="preserve"> </v>
      </c>
      <c r="DK23" s="61" t="str">
        <f ca="1">IFERROR(IF(ISNUMBER(DA23),INDEX('1.Locations'!K2:K21,DA23 + 1)," ")," ")</f>
        <v xml:space="preserve"> </v>
      </c>
      <c r="DL23" s="61" t="str">
        <f ca="1">IFERROR(IF(ISNUMBER(DA23),IF(CZ23 = CZ5, 0, DJ23 + DL22)," ")," ")</f>
        <v xml:space="preserve"> </v>
      </c>
      <c r="DM23" s="61" t="str">
        <f ca="1">IFERROR(IF(ISNUMBER(DA23),IF(CZ24 = CZ5, 0, IF(CZ24 = "", 0, DM24 + DK24))," ")," ")</f>
        <v xml:space="preserve"> </v>
      </c>
      <c r="DN23" s="60" t="str">
        <f ca="1">IFERROR(IF(ISNUMBER(DA23),DL23 + DM23," ")," ")</f>
        <v xml:space="preserve"> </v>
      </c>
      <c r="DP23" s="16">
        <v>18</v>
      </c>
      <c r="DQ23" s="65"/>
      <c r="DR23" s="60" t="str">
        <f ca="1">IFERROR(MATCH(INDIRECT("DQ23"),'1.Locations'!B2:B21, 0) - 1," ")</f>
        <v xml:space="preserve"> </v>
      </c>
      <c r="DS23" s="60" t="e">
        <f ca="1">IFERROR(IF(ISNUMBER(DR23),INDEX('1.Locations'!D2:D21,DR23 + 1),NA()),NA())</f>
        <v>#N/A</v>
      </c>
      <c r="DT23" s="60" t="e">
        <f ca="1">IFERROR(IF(ISNUMBER(DR23),INDEX('1.Locations'!E2:E21,DR23 + 1),NA()),NA())</f>
        <v>#N/A</v>
      </c>
      <c r="DU23" s="61" t="str">
        <f ca="1">IFERROR(IF(ISNUMBER(DR23),INDEX('2.Distances'!C2:C401,DR22*20+DR23+ 1) +DU22," ")," ")</f>
        <v xml:space="preserve"> </v>
      </c>
      <c r="DV23" s="62" t="str">
        <f ca="1">IFERROR(IF(ISNUMBER(DR23),'3.Vehicles'!F2 * INDEX('2.Distances'!D2:D401,DR22*20+DR23 + 1) +DV22," ")," ")</f>
        <v xml:space="preserve"> </v>
      </c>
      <c r="DW23" s="63" t="str">
        <f ca="1">IFERROR(IF(ISNUMBER(DR23),'3.Vehicles'!F2 * INDEX('2.Distances'!D2:D401,DR22*20+DR23 + 1) +DX22," ")," ")</f>
        <v xml:space="preserve"> </v>
      </c>
      <c r="DX23" s="63" t="str">
        <f ca="1">IFERROR(IF(AND(DR5&lt;&gt;DR23,ISNUMBER(DW23)),INDEX('1.Locations'!I2:I21,DR23 + 1) + MAX(DW23,INDEX('1.Locations'!F2:F21,DR23 + 1))," ")," ")</f>
        <v xml:space="preserve"> </v>
      </c>
      <c r="DY23" s="62" t="str">
        <f ca="1">IFERROR(IF(AND(DQ23 = DQ5, DQ24 = ""), DW23 - DX5, DX23 - DX5)," ")</f>
        <v xml:space="preserve"> </v>
      </c>
      <c r="DZ23" s="60" t="str">
        <f ca="1">IFERROR(IF(ISNUMBER(DR23),INDEX('1.Locations'!L2:L21,DR23 + 1) + DZ22," ")," ")</f>
        <v xml:space="preserve"> </v>
      </c>
      <c r="EA23" s="61" t="str">
        <f ca="1">IFERROR(IF(ISNUMBER(DR23),INDEX('1.Locations'!J2:J21,DR23 + 1)," ")," ")</f>
        <v xml:space="preserve"> </v>
      </c>
      <c r="EB23" s="61" t="str">
        <f ca="1">IFERROR(IF(ISNUMBER(DR23),INDEX('1.Locations'!K2:K21,DR23 + 1)," ")," ")</f>
        <v xml:space="preserve"> </v>
      </c>
      <c r="EC23" s="61" t="str">
        <f ca="1">IFERROR(IF(ISNUMBER(DR23),IF(DQ23 = DQ5, 0, EA23 + EC22)," ")," ")</f>
        <v xml:space="preserve"> </v>
      </c>
      <c r="ED23" s="61" t="str">
        <f ca="1">IFERROR(IF(ISNUMBER(DR23),IF(DQ24 = DQ5, 0, IF(DQ24 = "", 0, ED24 + EB24))," ")," ")</f>
        <v xml:space="preserve"> </v>
      </c>
      <c r="EE23" s="60" t="str">
        <f ca="1">IFERROR(IF(ISNUMBER(DR23),EC23 + ED23," ")," ")</f>
        <v xml:space="preserve"> </v>
      </c>
      <c r="EG23" s="16">
        <v>18</v>
      </c>
      <c r="EH23" s="65"/>
      <c r="EI23" s="60" t="str">
        <f ca="1">IFERROR(MATCH(INDIRECT("EH23"),'1.Locations'!B2:B21, 0) - 1," ")</f>
        <v xml:space="preserve"> </v>
      </c>
      <c r="EJ23" s="60" t="e">
        <f ca="1">IFERROR(IF(ISNUMBER(EI23),INDEX('1.Locations'!D2:D21,EI23 + 1),NA()),NA())</f>
        <v>#N/A</v>
      </c>
      <c r="EK23" s="60" t="e">
        <f ca="1">IFERROR(IF(ISNUMBER(EI23),INDEX('1.Locations'!E2:E21,EI23 + 1),NA()),NA())</f>
        <v>#N/A</v>
      </c>
      <c r="EL23" s="61" t="str">
        <f ca="1">IFERROR(IF(ISNUMBER(EI23),INDEX('2.Distances'!C2:C401,EI22*20+EI23+ 1) +EL22," ")," ")</f>
        <v xml:space="preserve"> </v>
      </c>
      <c r="EM23" s="62" t="str">
        <f ca="1">IFERROR(IF(ISNUMBER(EI23),'3.Vehicles'!F2 * INDEX('2.Distances'!D2:D401,EI22*20+EI23 + 1) +EM22," ")," ")</f>
        <v xml:space="preserve"> </v>
      </c>
      <c r="EN23" s="63" t="str">
        <f ca="1">IFERROR(IF(ISNUMBER(EI23),'3.Vehicles'!F2 * INDEX('2.Distances'!D2:D401,EI22*20+EI23 + 1) +EO22," ")," ")</f>
        <v xml:space="preserve"> </v>
      </c>
      <c r="EO23" s="63" t="str">
        <f ca="1">IFERROR(IF(AND(EI5&lt;&gt;EI23,ISNUMBER(EN23)),INDEX('1.Locations'!I2:I21,EI23 + 1) + MAX(EN23,INDEX('1.Locations'!F2:F21,EI23 + 1))," ")," ")</f>
        <v xml:space="preserve"> </v>
      </c>
      <c r="EP23" s="62" t="str">
        <f ca="1">IFERROR(IF(AND(EH23 = EH5, EH24 = ""), EN23 - EO5, EO23 - EO5)," ")</f>
        <v xml:space="preserve"> </v>
      </c>
      <c r="EQ23" s="60" t="str">
        <f ca="1">IFERROR(IF(ISNUMBER(EI23),INDEX('1.Locations'!L2:L21,EI23 + 1) + EQ22," ")," ")</f>
        <v xml:space="preserve"> </v>
      </c>
      <c r="ER23" s="61" t="str">
        <f ca="1">IFERROR(IF(ISNUMBER(EI23),INDEX('1.Locations'!J2:J21,EI23 + 1)," ")," ")</f>
        <v xml:space="preserve"> </v>
      </c>
      <c r="ES23" s="61" t="str">
        <f ca="1">IFERROR(IF(ISNUMBER(EI23),INDEX('1.Locations'!K2:K21,EI23 + 1)," ")," ")</f>
        <v xml:space="preserve"> </v>
      </c>
      <c r="ET23" s="61" t="str">
        <f ca="1">IFERROR(IF(ISNUMBER(EI23),IF(EH23 = EH5, 0, ER23 + ET22)," ")," ")</f>
        <v xml:space="preserve"> </v>
      </c>
      <c r="EU23" s="61" t="str">
        <f ca="1">IFERROR(IF(ISNUMBER(EI23),IF(EH24 = EH5, 0, IF(EH24 = "", 0, EU24 + ES24))," ")," ")</f>
        <v xml:space="preserve"> </v>
      </c>
      <c r="EV23" s="60" t="str">
        <f ca="1">IFERROR(IF(ISNUMBER(EI23),ET23 + EU23," ")," ")</f>
        <v xml:space="preserve"> </v>
      </c>
      <c r="EX23" s="16">
        <v>18</v>
      </c>
      <c r="EY23" s="65"/>
      <c r="EZ23" s="60" t="str">
        <f ca="1">IFERROR(MATCH(INDIRECT("EY23"),'1.Locations'!B2:B21, 0) - 1," ")</f>
        <v xml:space="preserve"> </v>
      </c>
      <c r="FA23" s="60" t="e">
        <f ca="1">IFERROR(IF(ISNUMBER(EZ23),INDEX('1.Locations'!D2:D21,EZ23 + 1),NA()),NA())</f>
        <v>#N/A</v>
      </c>
      <c r="FB23" s="60" t="e">
        <f ca="1">IFERROR(IF(ISNUMBER(EZ23),INDEX('1.Locations'!E2:E21,EZ23 + 1),NA()),NA())</f>
        <v>#N/A</v>
      </c>
      <c r="FC23" s="61" t="str">
        <f ca="1">IFERROR(IF(ISNUMBER(EZ23),INDEX('2.Distances'!C2:C401,EZ22*20+EZ23+ 1) +FC22," ")," ")</f>
        <v xml:space="preserve"> </v>
      </c>
      <c r="FD23" s="62" t="str">
        <f ca="1">IFERROR(IF(ISNUMBER(EZ23),'3.Vehicles'!F2 * INDEX('2.Distances'!D2:D401,EZ22*20+EZ23 + 1) +FD22," ")," ")</f>
        <v xml:space="preserve"> </v>
      </c>
      <c r="FE23" s="63" t="str">
        <f ca="1">IFERROR(IF(ISNUMBER(EZ23),'3.Vehicles'!F2 * INDEX('2.Distances'!D2:D401,EZ22*20+EZ23 + 1) +FF22," ")," ")</f>
        <v xml:space="preserve"> </v>
      </c>
      <c r="FF23" s="63" t="str">
        <f ca="1">IFERROR(IF(AND(EZ5&lt;&gt;EZ23,ISNUMBER(FE23)),INDEX('1.Locations'!I2:I21,EZ23 + 1) + MAX(FE23,INDEX('1.Locations'!F2:F21,EZ23 + 1))," ")," ")</f>
        <v xml:space="preserve"> </v>
      </c>
      <c r="FG23" s="62" t="str">
        <f ca="1">IFERROR(IF(AND(EY23 = EY5, EY24 = ""), FE23 - FF5, FF23 - FF5)," ")</f>
        <v xml:space="preserve"> </v>
      </c>
      <c r="FH23" s="60" t="str">
        <f ca="1">IFERROR(IF(ISNUMBER(EZ23),INDEX('1.Locations'!L2:L21,EZ23 + 1) + FH22," ")," ")</f>
        <v xml:space="preserve"> </v>
      </c>
      <c r="FI23" s="61" t="str">
        <f ca="1">IFERROR(IF(ISNUMBER(EZ23),INDEX('1.Locations'!J2:J21,EZ23 + 1)," ")," ")</f>
        <v xml:space="preserve"> </v>
      </c>
      <c r="FJ23" s="61" t="str">
        <f ca="1">IFERROR(IF(ISNUMBER(EZ23),INDEX('1.Locations'!K2:K21,EZ23 + 1)," ")," ")</f>
        <v xml:space="preserve"> </v>
      </c>
      <c r="FK23" s="61" t="str">
        <f ca="1">IFERROR(IF(ISNUMBER(EZ23),IF(EY23 = EY5, 0, FI23 + FK22)," ")," ")</f>
        <v xml:space="preserve"> </v>
      </c>
      <c r="FL23" s="61" t="str">
        <f ca="1">IFERROR(IF(ISNUMBER(EZ23),IF(EY24 = EY5, 0, IF(EY24 = "", 0, FL24 + FJ24))," ")," ")</f>
        <v xml:space="preserve"> </v>
      </c>
      <c r="FM23" s="60" t="str">
        <f ca="1">IFERROR(IF(ISNUMBER(EZ23),FK23 + FL23," ")," ")</f>
        <v xml:space="preserve"> </v>
      </c>
    </row>
    <row r="24" spans="1:169" x14ac:dyDescent="0.3">
      <c r="A24" s="16">
        <v>19</v>
      </c>
      <c r="B24" s="59"/>
      <c r="C24" s="60" t="str">
        <f ca="1">IFERROR(MATCH(INDIRECT("B24"),'1.Locations'!B2:B21, 0) - 1," ")</f>
        <v xml:space="preserve"> </v>
      </c>
      <c r="D24" s="60" t="e">
        <f ca="1">IFERROR(IF(ISNUMBER(C24),INDEX('1.Locations'!D2:D21,C24 + 1),NA()),NA())</f>
        <v>#N/A</v>
      </c>
      <c r="E24" s="60" t="e">
        <f ca="1">IFERROR(IF(ISNUMBER(C24),INDEX('1.Locations'!E2:E21,C24 + 1),NA()),NA())</f>
        <v>#N/A</v>
      </c>
      <c r="F24" s="61" t="str">
        <f ca="1">IFERROR(IF(ISNUMBER(C24),INDEX('2.Distances'!C2:C401,C23*20+C24+ 1) +F23," ")," ")</f>
        <v xml:space="preserve"> </v>
      </c>
      <c r="G24" s="62" t="str">
        <f ca="1">IFERROR(IF(ISNUMBER(C24),'3.Vehicles'!F2 * INDEX('2.Distances'!D2:D401,C23*20+C24 + 1) +G23," ")," ")</f>
        <v xml:space="preserve"> </v>
      </c>
      <c r="H24" s="63" t="str">
        <f ca="1">IFERROR(IF(ISNUMBER(C24),'3.Vehicles'!F2 * INDEX('2.Distances'!D2:D401,C23*20+C24 + 1) +I23," ")," ")</f>
        <v xml:space="preserve"> </v>
      </c>
      <c r="I24" s="63" t="str">
        <f ca="1">IFERROR(IF(AND(C5&lt;&gt;C24,ISNUMBER(H24)),INDEX('1.Locations'!I2:I21,C24 + 1) + MAX(H24,INDEX('1.Locations'!F2:F21,C24 + 1))," ")," ")</f>
        <v xml:space="preserve"> </v>
      </c>
      <c r="J24" s="62" t="str">
        <f ca="1">IFERROR(IF(AND(B24 = B5, B25 = ""), H24 - I5, I24 - I5)," ")</f>
        <v xml:space="preserve"> </v>
      </c>
      <c r="K24" s="60" t="str">
        <f ca="1">IFERROR(IF(ISNUMBER(C24),INDEX('1.Locations'!L2:L21,C24 + 1) + K23," ")," ")</f>
        <v xml:space="preserve"> </v>
      </c>
      <c r="L24" s="61" t="str">
        <f ca="1">IFERROR(IF(ISNUMBER(C24),INDEX('1.Locations'!J2:J21,C24 + 1)," ")," ")</f>
        <v xml:space="preserve"> </v>
      </c>
      <c r="M24" s="61" t="str">
        <f ca="1">IFERROR(IF(ISNUMBER(C24),INDEX('1.Locations'!K2:K21,C24 + 1)," ")," ")</f>
        <v xml:space="preserve"> </v>
      </c>
      <c r="N24" s="61" t="str">
        <f ca="1">IFERROR(IF(ISNUMBER(C24),IF(B24 = B5, 0, L24 + N23)," ")," ")</f>
        <v xml:space="preserve"> </v>
      </c>
      <c r="O24" s="61" t="str">
        <f ca="1">IFERROR(IF(ISNUMBER(C24),IF(B25 = B5, 0, IF(B25 = "", 0, O25 + M25))," ")," ")</f>
        <v xml:space="preserve"> </v>
      </c>
      <c r="P24" s="60" t="str">
        <f ca="1">IFERROR(IF(ISNUMBER(C24),N24 + O24," ")," ")</f>
        <v xml:space="preserve"> </v>
      </c>
      <c r="R24" s="16">
        <v>19</v>
      </c>
      <c r="S24" s="59"/>
      <c r="T24" s="60" t="str">
        <f ca="1">IFERROR(MATCH(INDIRECT("S24"),'1.Locations'!B2:B21, 0) - 1," ")</f>
        <v xml:space="preserve"> </v>
      </c>
      <c r="U24" s="60" t="e">
        <f ca="1">IFERROR(IF(ISNUMBER(T24),INDEX('1.Locations'!D2:D21,T24 + 1),NA()),NA())</f>
        <v>#N/A</v>
      </c>
      <c r="V24" s="60" t="e">
        <f ca="1">IFERROR(IF(ISNUMBER(T24),INDEX('1.Locations'!E2:E21,T24 + 1),NA()),NA())</f>
        <v>#N/A</v>
      </c>
      <c r="W24" s="61" t="str">
        <f ca="1">IFERROR(IF(ISNUMBER(T24),INDEX('2.Distances'!C2:C401,T23*20+T24+ 1) +W23," ")," ")</f>
        <v xml:space="preserve"> </v>
      </c>
      <c r="X24" s="62" t="str">
        <f ca="1">IFERROR(IF(ISNUMBER(T24),'3.Vehicles'!F2 * INDEX('2.Distances'!D2:D401,T23*20+T24 + 1) +X23," ")," ")</f>
        <v xml:space="preserve"> </v>
      </c>
      <c r="Y24" s="63" t="str">
        <f ca="1">IFERROR(IF(ISNUMBER(T24),'3.Vehicles'!F2 * INDEX('2.Distances'!D2:D401,T23*20+T24 + 1) +Z23," ")," ")</f>
        <v xml:space="preserve"> </v>
      </c>
      <c r="Z24" s="63" t="str">
        <f ca="1">IFERROR(IF(AND(T5&lt;&gt;T24,ISNUMBER(Y24)),INDEX('1.Locations'!I2:I21,T24 + 1) + MAX(Y24,INDEX('1.Locations'!F2:F21,T24 + 1))," ")," ")</f>
        <v xml:space="preserve"> </v>
      </c>
      <c r="AA24" s="62" t="str">
        <f ca="1">IFERROR(IF(AND(S24 = S5, S25 = ""), Y24 - Z5, Z24 - Z5)," ")</f>
        <v xml:space="preserve"> </v>
      </c>
      <c r="AB24" s="60" t="str">
        <f ca="1">IFERROR(IF(ISNUMBER(T24),INDEX('1.Locations'!L2:L21,T24 + 1) + AB23," ")," ")</f>
        <v xml:space="preserve"> </v>
      </c>
      <c r="AC24" s="61" t="str">
        <f ca="1">IFERROR(IF(ISNUMBER(T24),INDEX('1.Locations'!J2:J21,T24 + 1)," ")," ")</f>
        <v xml:space="preserve"> </v>
      </c>
      <c r="AD24" s="61" t="str">
        <f ca="1">IFERROR(IF(ISNUMBER(T24),INDEX('1.Locations'!K2:K21,T24 + 1)," ")," ")</f>
        <v xml:space="preserve"> </v>
      </c>
      <c r="AE24" s="61" t="str">
        <f ca="1">IFERROR(IF(ISNUMBER(T24),IF(S24 = S5, 0, AC24 + AE23)," ")," ")</f>
        <v xml:space="preserve"> </v>
      </c>
      <c r="AF24" s="61" t="str">
        <f ca="1">IFERROR(IF(ISNUMBER(T24),IF(S25 = S5, 0, IF(S25 = "", 0, AF25 + AD25))," ")," ")</f>
        <v xml:space="preserve"> </v>
      </c>
      <c r="AG24" s="60" t="str">
        <f ca="1">IFERROR(IF(ISNUMBER(T24),AE24 + AF24," ")," ")</f>
        <v xml:space="preserve"> </v>
      </c>
      <c r="AI24" s="16">
        <v>19</v>
      </c>
      <c r="AJ24" s="59"/>
      <c r="AK24" s="60" t="str">
        <f ca="1">IFERROR(MATCH(INDIRECT("AJ24"),'1.Locations'!B2:B21, 0) - 1," ")</f>
        <v xml:space="preserve"> </v>
      </c>
      <c r="AL24" s="60" t="e">
        <f ca="1">IFERROR(IF(ISNUMBER(AK24),INDEX('1.Locations'!D2:D21,AK24 + 1),NA()),NA())</f>
        <v>#N/A</v>
      </c>
      <c r="AM24" s="60" t="e">
        <f ca="1">IFERROR(IF(ISNUMBER(AK24),INDEX('1.Locations'!E2:E21,AK24 + 1),NA()),NA())</f>
        <v>#N/A</v>
      </c>
      <c r="AN24" s="61" t="str">
        <f ca="1">IFERROR(IF(ISNUMBER(AK24),INDEX('2.Distances'!C2:C401,AK23*20+AK24+ 1) +AN23," ")," ")</f>
        <v xml:space="preserve"> </v>
      </c>
      <c r="AO24" s="62" t="str">
        <f ca="1">IFERROR(IF(ISNUMBER(AK24),'3.Vehicles'!F2 * INDEX('2.Distances'!D2:D401,AK23*20+AK24 + 1) +AO23," ")," ")</f>
        <v xml:space="preserve"> </v>
      </c>
      <c r="AP24" s="63" t="str">
        <f ca="1">IFERROR(IF(ISNUMBER(AK24),'3.Vehicles'!F2 * INDEX('2.Distances'!D2:D401,AK23*20+AK24 + 1) +AQ23," ")," ")</f>
        <v xml:space="preserve"> </v>
      </c>
      <c r="AQ24" s="63" t="str">
        <f ca="1">IFERROR(IF(AND(AK5&lt;&gt;AK24,ISNUMBER(AP24)),INDEX('1.Locations'!I2:I21,AK24 + 1) + MAX(AP24,INDEX('1.Locations'!F2:F21,AK24 + 1))," ")," ")</f>
        <v xml:space="preserve"> </v>
      </c>
      <c r="AR24" s="62" t="str">
        <f ca="1">IFERROR(IF(AND(AJ24 = AJ5, AJ25 = ""), AP24 - AQ5, AQ24 - AQ5)," ")</f>
        <v xml:space="preserve"> </v>
      </c>
      <c r="AS24" s="60" t="str">
        <f ca="1">IFERROR(IF(ISNUMBER(AK24),INDEX('1.Locations'!L2:L21,AK24 + 1) + AS23," ")," ")</f>
        <v xml:space="preserve"> </v>
      </c>
      <c r="AT24" s="61" t="str">
        <f ca="1">IFERROR(IF(ISNUMBER(AK24),INDEX('1.Locations'!J2:J21,AK24 + 1)," ")," ")</f>
        <v xml:space="preserve"> </v>
      </c>
      <c r="AU24" s="61" t="str">
        <f ca="1">IFERROR(IF(ISNUMBER(AK24),INDEX('1.Locations'!K2:K21,AK24 + 1)," ")," ")</f>
        <v xml:space="preserve"> </v>
      </c>
      <c r="AV24" s="61" t="str">
        <f ca="1">IFERROR(IF(ISNUMBER(AK24),IF(AJ24 = AJ5, 0, AT24 + AV23)," ")," ")</f>
        <v xml:space="preserve"> </v>
      </c>
      <c r="AW24" s="61" t="str">
        <f ca="1">IFERROR(IF(ISNUMBER(AK24),IF(AJ25 = AJ5, 0, IF(AJ25 = "", 0, AW25 + AU25))," ")," ")</f>
        <v xml:space="preserve"> </v>
      </c>
      <c r="AX24" s="60" t="str">
        <f ca="1">IFERROR(IF(ISNUMBER(AK24),AV24 + AW24," ")," ")</f>
        <v xml:space="preserve"> </v>
      </c>
      <c r="AZ24" s="16">
        <v>19</v>
      </c>
      <c r="BA24" s="59"/>
      <c r="BB24" s="60" t="str">
        <f ca="1">IFERROR(MATCH(INDIRECT("BA24"),'1.Locations'!B2:B21, 0) - 1," ")</f>
        <v xml:space="preserve"> </v>
      </c>
      <c r="BC24" s="60" t="e">
        <f ca="1">IFERROR(IF(ISNUMBER(BB24),INDEX('1.Locations'!D2:D21,BB24 + 1),NA()),NA())</f>
        <v>#N/A</v>
      </c>
      <c r="BD24" s="60" t="e">
        <f ca="1">IFERROR(IF(ISNUMBER(BB24),INDEX('1.Locations'!E2:E21,BB24 + 1),NA()),NA())</f>
        <v>#N/A</v>
      </c>
      <c r="BE24" s="61" t="str">
        <f ca="1">IFERROR(IF(ISNUMBER(BB24),INDEX('2.Distances'!C2:C401,BB23*20+BB24+ 1) +BE23," ")," ")</f>
        <v xml:space="preserve"> </v>
      </c>
      <c r="BF24" s="62" t="str">
        <f ca="1">IFERROR(IF(ISNUMBER(BB24),'3.Vehicles'!F2 * INDEX('2.Distances'!D2:D401,BB23*20+BB24 + 1) +BF23," ")," ")</f>
        <v xml:space="preserve"> </v>
      </c>
      <c r="BG24" s="63" t="str">
        <f ca="1">IFERROR(IF(ISNUMBER(BB24),'3.Vehicles'!F2 * INDEX('2.Distances'!D2:D401,BB23*20+BB24 + 1) +BH23," ")," ")</f>
        <v xml:space="preserve"> </v>
      </c>
      <c r="BH24" s="63" t="str">
        <f ca="1">IFERROR(IF(AND(BB5&lt;&gt;BB24,ISNUMBER(BG24)),INDEX('1.Locations'!I2:I21,BB24 + 1) + MAX(BG24,INDEX('1.Locations'!F2:F21,BB24 + 1))," ")," ")</f>
        <v xml:space="preserve"> </v>
      </c>
      <c r="BI24" s="62" t="str">
        <f ca="1">IFERROR(IF(AND(BA24 = BA5, BA25 = ""), BG24 - BH5, BH24 - BH5)," ")</f>
        <v xml:space="preserve"> </v>
      </c>
      <c r="BJ24" s="60" t="str">
        <f ca="1">IFERROR(IF(ISNUMBER(BB24),INDEX('1.Locations'!L2:L21,BB24 + 1) + BJ23," ")," ")</f>
        <v xml:space="preserve"> </v>
      </c>
      <c r="BK24" s="61" t="str">
        <f ca="1">IFERROR(IF(ISNUMBER(BB24),INDEX('1.Locations'!J2:J21,BB24 + 1)," ")," ")</f>
        <v xml:space="preserve"> </v>
      </c>
      <c r="BL24" s="61" t="str">
        <f ca="1">IFERROR(IF(ISNUMBER(BB24),INDEX('1.Locations'!K2:K21,BB24 + 1)," ")," ")</f>
        <v xml:space="preserve"> </v>
      </c>
      <c r="BM24" s="61" t="str">
        <f ca="1">IFERROR(IF(ISNUMBER(BB24),IF(BA24 = BA5, 0, BK24 + BM23)," ")," ")</f>
        <v xml:space="preserve"> </v>
      </c>
      <c r="BN24" s="61" t="str">
        <f ca="1">IFERROR(IF(ISNUMBER(BB24),IF(BA25 = BA5, 0, IF(BA25 = "", 0, BN25 + BL25))," ")," ")</f>
        <v xml:space="preserve"> </v>
      </c>
      <c r="BO24" s="60" t="str">
        <f ca="1">IFERROR(IF(ISNUMBER(BB24),BM24 + BN24," ")," ")</f>
        <v xml:space="preserve"> </v>
      </c>
      <c r="BQ24" s="16">
        <v>19</v>
      </c>
      <c r="BR24" s="59"/>
      <c r="BS24" s="60" t="str">
        <f ca="1">IFERROR(MATCH(INDIRECT("BR24"),'1.Locations'!B2:B21, 0) - 1," ")</f>
        <v xml:space="preserve"> </v>
      </c>
      <c r="BT24" s="60" t="e">
        <f ca="1">IFERROR(IF(ISNUMBER(BS24),INDEX('1.Locations'!D2:D21,BS24 + 1),NA()),NA())</f>
        <v>#N/A</v>
      </c>
      <c r="BU24" s="60" t="e">
        <f ca="1">IFERROR(IF(ISNUMBER(BS24),INDEX('1.Locations'!E2:E21,BS24 + 1),NA()),NA())</f>
        <v>#N/A</v>
      </c>
      <c r="BV24" s="61" t="str">
        <f ca="1">IFERROR(IF(ISNUMBER(BS24),INDEX('2.Distances'!C2:C401,BS23*20+BS24+ 1) +BV23," ")," ")</f>
        <v xml:space="preserve"> </v>
      </c>
      <c r="BW24" s="62" t="str">
        <f ca="1">IFERROR(IF(ISNUMBER(BS24),'3.Vehicles'!F2 * INDEX('2.Distances'!D2:D401,BS23*20+BS24 + 1) +BW23," ")," ")</f>
        <v xml:space="preserve"> </v>
      </c>
      <c r="BX24" s="63" t="str">
        <f ca="1">IFERROR(IF(ISNUMBER(BS24),'3.Vehicles'!F2 * INDEX('2.Distances'!D2:D401,BS23*20+BS24 + 1) +BY23," ")," ")</f>
        <v xml:space="preserve"> </v>
      </c>
      <c r="BY24" s="63" t="str">
        <f ca="1">IFERROR(IF(AND(BS5&lt;&gt;BS24,ISNUMBER(BX24)),INDEX('1.Locations'!I2:I21,BS24 + 1) + MAX(BX24,INDEX('1.Locations'!F2:F21,BS24 + 1))," ")," ")</f>
        <v xml:space="preserve"> </v>
      </c>
      <c r="BZ24" s="62" t="str">
        <f ca="1">IFERROR(IF(AND(BR24 = BR5, BR25 = ""), BX24 - BY5, BY24 - BY5)," ")</f>
        <v xml:space="preserve"> </v>
      </c>
      <c r="CA24" s="60" t="str">
        <f ca="1">IFERROR(IF(ISNUMBER(BS24),INDEX('1.Locations'!L2:L21,BS24 + 1) + CA23," ")," ")</f>
        <v xml:space="preserve"> </v>
      </c>
      <c r="CB24" s="61" t="str">
        <f ca="1">IFERROR(IF(ISNUMBER(BS24),INDEX('1.Locations'!J2:J21,BS24 + 1)," ")," ")</f>
        <v xml:space="preserve"> </v>
      </c>
      <c r="CC24" s="61" t="str">
        <f ca="1">IFERROR(IF(ISNUMBER(BS24),INDEX('1.Locations'!K2:K21,BS24 + 1)," ")," ")</f>
        <v xml:space="preserve"> </v>
      </c>
      <c r="CD24" s="61" t="str">
        <f ca="1">IFERROR(IF(ISNUMBER(BS24),IF(BR24 = BR5, 0, CB24 + CD23)," ")," ")</f>
        <v xml:space="preserve"> </v>
      </c>
      <c r="CE24" s="61" t="str">
        <f ca="1">IFERROR(IF(ISNUMBER(BS24),IF(BR25 = BR5, 0, IF(BR25 = "", 0, CE25 + CC25))," ")," ")</f>
        <v xml:space="preserve"> </v>
      </c>
      <c r="CF24" s="60" t="str">
        <f ca="1">IFERROR(IF(ISNUMBER(BS24),CD24 + CE24," ")," ")</f>
        <v xml:space="preserve"> </v>
      </c>
      <c r="CH24" s="16">
        <v>19</v>
      </c>
      <c r="CI24" s="59"/>
      <c r="CJ24" s="60" t="str">
        <f ca="1">IFERROR(MATCH(INDIRECT("CI24"),'1.Locations'!B2:B21, 0) - 1," ")</f>
        <v xml:space="preserve"> </v>
      </c>
      <c r="CK24" s="60" t="e">
        <f ca="1">IFERROR(IF(ISNUMBER(CJ24),INDEX('1.Locations'!D2:D21,CJ24 + 1),NA()),NA())</f>
        <v>#N/A</v>
      </c>
      <c r="CL24" s="60" t="e">
        <f ca="1">IFERROR(IF(ISNUMBER(CJ24),INDEX('1.Locations'!E2:E21,CJ24 + 1),NA()),NA())</f>
        <v>#N/A</v>
      </c>
      <c r="CM24" s="61" t="str">
        <f ca="1">IFERROR(IF(ISNUMBER(CJ24),INDEX('2.Distances'!C2:C401,CJ23*20+CJ24+ 1) +CM23," ")," ")</f>
        <v xml:space="preserve"> </v>
      </c>
      <c r="CN24" s="62" t="str">
        <f ca="1">IFERROR(IF(ISNUMBER(CJ24),'3.Vehicles'!F2 * INDEX('2.Distances'!D2:D401,CJ23*20+CJ24 + 1) +CN23," ")," ")</f>
        <v xml:space="preserve"> </v>
      </c>
      <c r="CO24" s="63" t="str">
        <f ca="1">IFERROR(IF(ISNUMBER(CJ24),'3.Vehicles'!F2 * INDEX('2.Distances'!D2:D401,CJ23*20+CJ24 + 1) +CP23," ")," ")</f>
        <v xml:space="preserve"> </v>
      </c>
      <c r="CP24" s="63" t="str">
        <f ca="1">IFERROR(IF(AND(CJ5&lt;&gt;CJ24,ISNUMBER(CO24)),INDEX('1.Locations'!I2:I21,CJ24 + 1) + MAX(CO24,INDEX('1.Locations'!F2:F21,CJ24 + 1))," ")," ")</f>
        <v xml:space="preserve"> </v>
      </c>
      <c r="CQ24" s="62" t="str">
        <f ca="1">IFERROR(IF(AND(CI24 = CI5, CI25 = ""), CO24 - CP5, CP24 - CP5)," ")</f>
        <v xml:space="preserve"> </v>
      </c>
      <c r="CR24" s="60" t="str">
        <f ca="1">IFERROR(IF(ISNUMBER(CJ24),INDEX('1.Locations'!L2:L21,CJ24 + 1) + CR23," ")," ")</f>
        <v xml:space="preserve"> </v>
      </c>
      <c r="CS24" s="61" t="str">
        <f ca="1">IFERROR(IF(ISNUMBER(CJ24),INDEX('1.Locations'!J2:J21,CJ24 + 1)," ")," ")</f>
        <v xml:space="preserve"> </v>
      </c>
      <c r="CT24" s="61" t="str">
        <f ca="1">IFERROR(IF(ISNUMBER(CJ24),INDEX('1.Locations'!K2:K21,CJ24 + 1)," ")," ")</f>
        <v xml:space="preserve"> </v>
      </c>
      <c r="CU24" s="61" t="str">
        <f ca="1">IFERROR(IF(ISNUMBER(CJ24),IF(CI24 = CI5, 0, CS24 + CU23)," ")," ")</f>
        <v xml:space="preserve"> </v>
      </c>
      <c r="CV24" s="61" t="str">
        <f ca="1">IFERROR(IF(ISNUMBER(CJ24),IF(CI25 = CI5, 0, IF(CI25 = "", 0, CV25 + CT25))," ")," ")</f>
        <v xml:space="preserve"> </v>
      </c>
      <c r="CW24" s="60" t="str">
        <f ca="1">IFERROR(IF(ISNUMBER(CJ24),CU24 + CV24," ")," ")</f>
        <v xml:space="preserve"> </v>
      </c>
      <c r="CY24" s="16">
        <v>19</v>
      </c>
      <c r="CZ24" s="59"/>
      <c r="DA24" s="60" t="str">
        <f ca="1">IFERROR(MATCH(INDIRECT("CZ24"),'1.Locations'!B2:B21, 0) - 1," ")</f>
        <v xml:space="preserve"> </v>
      </c>
      <c r="DB24" s="60" t="e">
        <f ca="1">IFERROR(IF(ISNUMBER(DA24),INDEX('1.Locations'!D2:D21,DA24 + 1),NA()),NA())</f>
        <v>#N/A</v>
      </c>
      <c r="DC24" s="60" t="e">
        <f ca="1">IFERROR(IF(ISNUMBER(DA24),INDEX('1.Locations'!E2:E21,DA24 + 1),NA()),NA())</f>
        <v>#N/A</v>
      </c>
      <c r="DD24" s="61" t="str">
        <f ca="1">IFERROR(IF(ISNUMBER(DA24),INDEX('2.Distances'!C2:C401,DA23*20+DA24+ 1) +DD23," ")," ")</f>
        <v xml:space="preserve"> </v>
      </c>
      <c r="DE24" s="62" t="str">
        <f ca="1">IFERROR(IF(ISNUMBER(DA24),'3.Vehicles'!F2 * INDEX('2.Distances'!D2:D401,DA23*20+DA24 + 1) +DE23," ")," ")</f>
        <v xml:space="preserve"> </v>
      </c>
      <c r="DF24" s="63" t="str">
        <f ca="1">IFERROR(IF(ISNUMBER(DA24),'3.Vehicles'!F2 * INDEX('2.Distances'!D2:D401,DA23*20+DA24 + 1) +DG23," ")," ")</f>
        <v xml:space="preserve"> </v>
      </c>
      <c r="DG24" s="63" t="str">
        <f ca="1">IFERROR(IF(AND(DA5&lt;&gt;DA24,ISNUMBER(DF24)),INDEX('1.Locations'!I2:I21,DA24 + 1) + MAX(DF24,INDEX('1.Locations'!F2:F21,DA24 + 1))," ")," ")</f>
        <v xml:space="preserve"> </v>
      </c>
      <c r="DH24" s="62" t="str">
        <f ca="1">IFERROR(IF(AND(CZ24 = CZ5, CZ25 = ""), DF24 - DG5, DG24 - DG5)," ")</f>
        <v xml:space="preserve"> </v>
      </c>
      <c r="DI24" s="60" t="str">
        <f ca="1">IFERROR(IF(ISNUMBER(DA24),INDEX('1.Locations'!L2:L21,DA24 + 1) + DI23," ")," ")</f>
        <v xml:space="preserve"> </v>
      </c>
      <c r="DJ24" s="61" t="str">
        <f ca="1">IFERROR(IF(ISNUMBER(DA24),INDEX('1.Locations'!J2:J21,DA24 + 1)," ")," ")</f>
        <v xml:space="preserve"> </v>
      </c>
      <c r="DK24" s="61" t="str">
        <f ca="1">IFERROR(IF(ISNUMBER(DA24),INDEX('1.Locations'!K2:K21,DA24 + 1)," ")," ")</f>
        <v xml:space="preserve"> </v>
      </c>
      <c r="DL24" s="61" t="str">
        <f ca="1">IFERROR(IF(ISNUMBER(DA24),IF(CZ24 = CZ5, 0, DJ24 + DL23)," ")," ")</f>
        <v xml:space="preserve"> </v>
      </c>
      <c r="DM24" s="61" t="str">
        <f ca="1">IFERROR(IF(ISNUMBER(DA24),IF(CZ25 = CZ5, 0, IF(CZ25 = "", 0, DM25 + DK25))," ")," ")</f>
        <v xml:space="preserve"> </v>
      </c>
      <c r="DN24" s="60" t="str">
        <f ca="1">IFERROR(IF(ISNUMBER(DA24),DL24 + DM24," ")," ")</f>
        <v xml:space="preserve"> </v>
      </c>
      <c r="DP24" s="16">
        <v>19</v>
      </c>
      <c r="DQ24" s="59"/>
      <c r="DR24" s="60" t="str">
        <f ca="1">IFERROR(MATCH(INDIRECT("DQ24"),'1.Locations'!B2:B21, 0) - 1," ")</f>
        <v xml:space="preserve"> </v>
      </c>
      <c r="DS24" s="60" t="e">
        <f ca="1">IFERROR(IF(ISNUMBER(DR24),INDEX('1.Locations'!D2:D21,DR24 + 1),NA()),NA())</f>
        <v>#N/A</v>
      </c>
      <c r="DT24" s="60" t="e">
        <f ca="1">IFERROR(IF(ISNUMBER(DR24),INDEX('1.Locations'!E2:E21,DR24 + 1),NA()),NA())</f>
        <v>#N/A</v>
      </c>
      <c r="DU24" s="61" t="str">
        <f ca="1">IFERROR(IF(ISNUMBER(DR24),INDEX('2.Distances'!C2:C401,DR23*20+DR24+ 1) +DU23," ")," ")</f>
        <v xml:space="preserve"> </v>
      </c>
      <c r="DV24" s="62" t="str">
        <f ca="1">IFERROR(IF(ISNUMBER(DR24),'3.Vehicles'!F2 * INDEX('2.Distances'!D2:D401,DR23*20+DR24 + 1) +DV23," ")," ")</f>
        <v xml:space="preserve"> </v>
      </c>
      <c r="DW24" s="63" t="str">
        <f ca="1">IFERROR(IF(ISNUMBER(DR24),'3.Vehicles'!F2 * INDEX('2.Distances'!D2:D401,DR23*20+DR24 + 1) +DX23," ")," ")</f>
        <v xml:space="preserve"> </v>
      </c>
      <c r="DX24" s="63" t="str">
        <f ca="1">IFERROR(IF(AND(DR5&lt;&gt;DR24,ISNUMBER(DW24)),INDEX('1.Locations'!I2:I21,DR24 + 1) + MAX(DW24,INDEX('1.Locations'!F2:F21,DR24 + 1))," ")," ")</f>
        <v xml:space="preserve"> </v>
      </c>
      <c r="DY24" s="62" t="str">
        <f ca="1">IFERROR(IF(AND(DQ24 = DQ5, DQ25 = ""), DW24 - DX5, DX24 - DX5)," ")</f>
        <v xml:space="preserve"> </v>
      </c>
      <c r="DZ24" s="60" t="str">
        <f ca="1">IFERROR(IF(ISNUMBER(DR24),INDEX('1.Locations'!L2:L21,DR24 + 1) + DZ23," ")," ")</f>
        <v xml:space="preserve"> </v>
      </c>
      <c r="EA24" s="61" t="str">
        <f ca="1">IFERROR(IF(ISNUMBER(DR24),INDEX('1.Locations'!J2:J21,DR24 + 1)," ")," ")</f>
        <v xml:space="preserve"> </v>
      </c>
      <c r="EB24" s="61" t="str">
        <f ca="1">IFERROR(IF(ISNUMBER(DR24),INDEX('1.Locations'!K2:K21,DR24 + 1)," ")," ")</f>
        <v xml:space="preserve"> </v>
      </c>
      <c r="EC24" s="61" t="str">
        <f ca="1">IFERROR(IF(ISNUMBER(DR24),IF(DQ24 = DQ5, 0, EA24 + EC23)," ")," ")</f>
        <v xml:space="preserve"> </v>
      </c>
      <c r="ED24" s="61" t="str">
        <f ca="1">IFERROR(IF(ISNUMBER(DR24),IF(DQ25 = DQ5, 0, IF(DQ25 = "", 0, ED25 + EB25))," ")," ")</f>
        <v xml:space="preserve"> </v>
      </c>
      <c r="EE24" s="60" t="str">
        <f ca="1">IFERROR(IF(ISNUMBER(DR24),EC24 + ED24," ")," ")</f>
        <v xml:space="preserve"> </v>
      </c>
      <c r="EG24" s="16">
        <v>19</v>
      </c>
      <c r="EH24" s="59"/>
      <c r="EI24" s="60" t="str">
        <f ca="1">IFERROR(MATCH(INDIRECT("EH24"),'1.Locations'!B2:B21, 0) - 1," ")</f>
        <v xml:space="preserve"> </v>
      </c>
      <c r="EJ24" s="60" t="e">
        <f ca="1">IFERROR(IF(ISNUMBER(EI24),INDEX('1.Locations'!D2:D21,EI24 + 1),NA()),NA())</f>
        <v>#N/A</v>
      </c>
      <c r="EK24" s="60" t="e">
        <f ca="1">IFERROR(IF(ISNUMBER(EI24),INDEX('1.Locations'!E2:E21,EI24 + 1),NA()),NA())</f>
        <v>#N/A</v>
      </c>
      <c r="EL24" s="61" t="str">
        <f ca="1">IFERROR(IF(ISNUMBER(EI24),INDEX('2.Distances'!C2:C401,EI23*20+EI24+ 1) +EL23," ")," ")</f>
        <v xml:space="preserve"> </v>
      </c>
      <c r="EM24" s="62" t="str">
        <f ca="1">IFERROR(IF(ISNUMBER(EI24),'3.Vehicles'!F2 * INDEX('2.Distances'!D2:D401,EI23*20+EI24 + 1) +EM23," ")," ")</f>
        <v xml:space="preserve"> </v>
      </c>
      <c r="EN24" s="63" t="str">
        <f ca="1">IFERROR(IF(ISNUMBER(EI24),'3.Vehicles'!F2 * INDEX('2.Distances'!D2:D401,EI23*20+EI24 + 1) +EO23," ")," ")</f>
        <v xml:space="preserve"> </v>
      </c>
      <c r="EO24" s="63" t="str">
        <f ca="1">IFERROR(IF(AND(EI5&lt;&gt;EI24,ISNUMBER(EN24)),INDEX('1.Locations'!I2:I21,EI24 + 1) + MAX(EN24,INDEX('1.Locations'!F2:F21,EI24 + 1))," ")," ")</f>
        <v xml:space="preserve"> </v>
      </c>
      <c r="EP24" s="62" t="str">
        <f ca="1">IFERROR(IF(AND(EH24 = EH5, EH25 = ""), EN24 - EO5, EO24 - EO5)," ")</f>
        <v xml:space="preserve"> </v>
      </c>
      <c r="EQ24" s="60" t="str">
        <f ca="1">IFERROR(IF(ISNUMBER(EI24),INDEX('1.Locations'!L2:L21,EI24 + 1) + EQ23," ")," ")</f>
        <v xml:space="preserve"> </v>
      </c>
      <c r="ER24" s="61" t="str">
        <f ca="1">IFERROR(IF(ISNUMBER(EI24),INDEX('1.Locations'!J2:J21,EI24 + 1)," ")," ")</f>
        <v xml:space="preserve"> </v>
      </c>
      <c r="ES24" s="61" t="str">
        <f ca="1">IFERROR(IF(ISNUMBER(EI24),INDEX('1.Locations'!K2:K21,EI24 + 1)," ")," ")</f>
        <v xml:space="preserve"> </v>
      </c>
      <c r="ET24" s="61" t="str">
        <f ca="1">IFERROR(IF(ISNUMBER(EI24),IF(EH24 = EH5, 0, ER24 + ET23)," ")," ")</f>
        <v xml:space="preserve"> </v>
      </c>
      <c r="EU24" s="61" t="str">
        <f ca="1">IFERROR(IF(ISNUMBER(EI24),IF(EH25 = EH5, 0, IF(EH25 = "", 0, EU25 + ES25))," ")," ")</f>
        <v xml:space="preserve"> </v>
      </c>
      <c r="EV24" s="60" t="str">
        <f ca="1">IFERROR(IF(ISNUMBER(EI24),ET24 + EU24," ")," ")</f>
        <v xml:space="preserve"> </v>
      </c>
      <c r="EX24" s="16">
        <v>19</v>
      </c>
      <c r="EY24" s="59"/>
      <c r="EZ24" s="60" t="str">
        <f ca="1">IFERROR(MATCH(INDIRECT("EY24"),'1.Locations'!B2:B21, 0) - 1," ")</f>
        <v xml:space="preserve"> </v>
      </c>
      <c r="FA24" s="60" t="e">
        <f ca="1">IFERROR(IF(ISNUMBER(EZ24),INDEX('1.Locations'!D2:D21,EZ24 + 1),NA()),NA())</f>
        <v>#N/A</v>
      </c>
      <c r="FB24" s="60" t="e">
        <f ca="1">IFERROR(IF(ISNUMBER(EZ24),INDEX('1.Locations'!E2:E21,EZ24 + 1),NA()),NA())</f>
        <v>#N/A</v>
      </c>
      <c r="FC24" s="61" t="str">
        <f ca="1">IFERROR(IF(ISNUMBER(EZ24),INDEX('2.Distances'!C2:C401,EZ23*20+EZ24+ 1) +FC23," ")," ")</f>
        <v xml:space="preserve"> </v>
      </c>
      <c r="FD24" s="62" t="str">
        <f ca="1">IFERROR(IF(ISNUMBER(EZ24),'3.Vehicles'!F2 * INDEX('2.Distances'!D2:D401,EZ23*20+EZ24 + 1) +FD23," ")," ")</f>
        <v xml:space="preserve"> </v>
      </c>
      <c r="FE24" s="63" t="str">
        <f ca="1">IFERROR(IF(ISNUMBER(EZ24),'3.Vehicles'!F2 * INDEX('2.Distances'!D2:D401,EZ23*20+EZ24 + 1) +FF23," ")," ")</f>
        <v xml:space="preserve"> </v>
      </c>
      <c r="FF24" s="63" t="str">
        <f ca="1">IFERROR(IF(AND(EZ5&lt;&gt;EZ24,ISNUMBER(FE24)),INDEX('1.Locations'!I2:I21,EZ24 + 1) + MAX(FE24,INDEX('1.Locations'!F2:F21,EZ24 + 1))," ")," ")</f>
        <v xml:space="preserve"> </v>
      </c>
      <c r="FG24" s="62" t="str">
        <f ca="1">IFERROR(IF(AND(EY24 = EY5, EY25 = ""), FE24 - FF5, FF24 - FF5)," ")</f>
        <v xml:space="preserve"> </v>
      </c>
      <c r="FH24" s="60" t="str">
        <f ca="1">IFERROR(IF(ISNUMBER(EZ24),INDEX('1.Locations'!L2:L21,EZ24 + 1) + FH23," ")," ")</f>
        <v xml:space="preserve"> </v>
      </c>
      <c r="FI24" s="61" t="str">
        <f ca="1">IFERROR(IF(ISNUMBER(EZ24),INDEX('1.Locations'!J2:J21,EZ24 + 1)," ")," ")</f>
        <v xml:space="preserve"> </v>
      </c>
      <c r="FJ24" s="61" t="str">
        <f ca="1">IFERROR(IF(ISNUMBER(EZ24),INDEX('1.Locations'!K2:K21,EZ24 + 1)," ")," ")</f>
        <v xml:space="preserve"> </v>
      </c>
      <c r="FK24" s="61" t="str">
        <f ca="1">IFERROR(IF(ISNUMBER(EZ24),IF(EY24 = EY5, 0, FI24 + FK23)," ")," ")</f>
        <v xml:space="preserve"> </v>
      </c>
      <c r="FL24" s="61" t="str">
        <f ca="1">IFERROR(IF(ISNUMBER(EZ24),IF(EY25 = EY5, 0, IF(EY25 = "", 0, FL25 + FJ25))," ")," ")</f>
        <v xml:space="preserve"> </v>
      </c>
      <c r="FM24" s="60" t="str">
        <f ca="1">IFERROR(IF(ISNUMBER(EZ24),FK24 + FL24," ")," ")</f>
        <v xml:space="preserve"> </v>
      </c>
    </row>
    <row r="25" spans="1:169" x14ac:dyDescent="0.3">
      <c r="A25" s="14">
        <v>20</v>
      </c>
      <c r="B25" s="64"/>
      <c r="C25" s="55" t="str">
        <f ca="1">IFERROR(MATCH(INDIRECT("B25"),'1.Locations'!B2:B21, 0) - 1," ")</f>
        <v xml:space="preserve"> </v>
      </c>
      <c r="D25" s="55" t="e">
        <f ca="1">IFERROR(IF(ISNUMBER(C25),INDEX('1.Locations'!D2:D21,C25 + 1),NA()),NA())</f>
        <v>#N/A</v>
      </c>
      <c r="E25" s="55" t="e">
        <f ca="1">IFERROR(IF(ISNUMBER(C25),INDEX('1.Locations'!E2:E21,C25 + 1),NA()),NA())</f>
        <v>#N/A</v>
      </c>
      <c r="F25" s="56" t="str">
        <f ca="1">IFERROR(IF(ISNUMBER(C25),INDEX('2.Distances'!C2:C401,C24*20+C25+ 1) +F24," ")," ")</f>
        <v xml:space="preserve"> </v>
      </c>
      <c r="G25" s="57" t="str">
        <f ca="1">IFERROR(IF(ISNUMBER(C25),'3.Vehicles'!F2 * INDEX('2.Distances'!D2:D401,C24*20+C25 + 1) +G24," ")," ")</f>
        <v xml:space="preserve"> </v>
      </c>
      <c r="H25" s="58" t="str">
        <f ca="1">IFERROR(IF(ISNUMBER(C25),'3.Vehicles'!F2 * INDEX('2.Distances'!D2:D401,C24*20+C25 + 1) +I24," ")," ")</f>
        <v xml:space="preserve"> </v>
      </c>
      <c r="I25" s="58" t="str">
        <f ca="1">IFERROR(IF(AND(C5&lt;&gt;C25,ISNUMBER(H25)),INDEX('1.Locations'!I2:I21,C25 + 1) + MAX(H25,INDEX('1.Locations'!F2:F21,C25 + 1))," ")," ")</f>
        <v xml:space="preserve"> </v>
      </c>
      <c r="J25" s="57" t="str">
        <f ca="1">IFERROR(IF(AND(B25 = B5, B26 = ""), H25 - I5, I25 - I5)," ")</f>
        <v xml:space="preserve"> </v>
      </c>
      <c r="K25" s="55" t="str">
        <f ca="1">IFERROR(IF(ISNUMBER(C25),INDEX('1.Locations'!L2:L21,C25 + 1) + K24," ")," ")</f>
        <v xml:space="preserve"> </v>
      </c>
      <c r="L25" s="56" t="str">
        <f ca="1">IFERROR(IF(ISNUMBER(C25),INDEX('1.Locations'!J2:J21,C25 + 1)," ")," ")</f>
        <v xml:space="preserve"> </v>
      </c>
      <c r="M25" s="56" t="str">
        <f ca="1">IFERROR(IF(ISNUMBER(C25),INDEX('1.Locations'!K2:K21,C25 + 1)," ")," ")</f>
        <v xml:space="preserve"> </v>
      </c>
      <c r="N25" s="56" t="str">
        <f ca="1">IFERROR(IF(ISNUMBER(C25),IF(B25 = B5, 0, L25 + N24)," ")," ")</f>
        <v xml:space="preserve"> </v>
      </c>
      <c r="O25" s="56" t="str">
        <f ca="1">IFERROR(IF(ISNUMBER(C25),IF(B26 = B5, 0, IF(B26 = "", 0, O26 + M26))," ")," ")</f>
        <v xml:space="preserve"> </v>
      </c>
      <c r="P25" s="55" t="str">
        <f ca="1">IFERROR(IF(ISNUMBER(C25),N25 + O25," ")," ")</f>
        <v xml:space="preserve"> </v>
      </c>
      <c r="R25" s="14">
        <v>20</v>
      </c>
      <c r="S25" s="64"/>
      <c r="T25" s="55" t="str">
        <f ca="1">IFERROR(MATCH(INDIRECT("S25"),'1.Locations'!B2:B21, 0) - 1," ")</f>
        <v xml:space="preserve"> </v>
      </c>
      <c r="U25" s="55" t="e">
        <f ca="1">IFERROR(IF(ISNUMBER(T25),INDEX('1.Locations'!D2:D21,T25 + 1),NA()),NA())</f>
        <v>#N/A</v>
      </c>
      <c r="V25" s="55" t="e">
        <f ca="1">IFERROR(IF(ISNUMBER(T25),INDEX('1.Locations'!E2:E21,T25 + 1),NA()),NA())</f>
        <v>#N/A</v>
      </c>
      <c r="W25" s="56" t="str">
        <f ca="1">IFERROR(IF(ISNUMBER(T25),INDEX('2.Distances'!C2:C401,T24*20+T25+ 1) +W24," ")," ")</f>
        <v xml:space="preserve"> </v>
      </c>
      <c r="X25" s="57" t="str">
        <f ca="1">IFERROR(IF(ISNUMBER(T25),'3.Vehicles'!F2 * INDEX('2.Distances'!D2:D401,T24*20+T25 + 1) +X24," ")," ")</f>
        <v xml:space="preserve"> </v>
      </c>
      <c r="Y25" s="58" t="str">
        <f ca="1">IFERROR(IF(ISNUMBER(T25),'3.Vehicles'!F2 * INDEX('2.Distances'!D2:D401,T24*20+T25 + 1) +Z24," ")," ")</f>
        <v xml:space="preserve"> </v>
      </c>
      <c r="Z25" s="58" t="str">
        <f ca="1">IFERROR(IF(AND(T5&lt;&gt;T25,ISNUMBER(Y25)),INDEX('1.Locations'!I2:I21,T25 + 1) + MAX(Y25,INDEX('1.Locations'!F2:F21,T25 + 1))," ")," ")</f>
        <v xml:space="preserve"> </v>
      </c>
      <c r="AA25" s="57" t="str">
        <f ca="1">IFERROR(IF(AND(S25 = S5, S26 = ""), Y25 - Z5, Z25 - Z5)," ")</f>
        <v xml:space="preserve"> </v>
      </c>
      <c r="AB25" s="55" t="str">
        <f ca="1">IFERROR(IF(ISNUMBER(T25),INDEX('1.Locations'!L2:L21,T25 + 1) + AB24," ")," ")</f>
        <v xml:space="preserve"> </v>
      </c>
      <c r="AC25" s="56" t="str">
        <f ca="1">IFERROR(IF(ISNUMBER(T25),INDEX('1.Locations'!J2:J21,T25 + 1)," ")," ")</f>
        <v xml:space="preserve"> </v>
      </c>
      <c r="AD25" s="56" t="str">
        <f ca="1">IFERROR(IF(ISNUMBER(T25),INDEX('1.Locations'!K2:K21,T25 + 1)," ")," ")</f>
        <v xml:space="preserve"> </v>
      </c>
      <c r="AE25" s="56" t="str">
        <f ca="1">IFERROR(IF(ISNUMBER(T25),IF(S25 = S5, 0, AC25 + AE24)," ")," ")</f>
        <v xml:space="preserve"> </v>
      </c>
      <c r="AF25" s="56" t="str">
        <f ca="1">IFERROR(IF(ISNUMBER(T25),IF(S26 = S5, 0, IF(S26 = "", 0, AF26 + AD26))," ")," ")</f>
        <v xml:space="preserve"> </v>
      </c>
      <c r="AG25" s="55" t="str">
        <f ca="1">IFERROR(IF(ISNUMBER(T25),AE25 + AF25," ")," ")</f>
        <v xml:space="preserve"> </v>
      </c>
      <c r="AI25" s="14">
        <v>20</v>
      </c>
      <c r="AJ25" s="64"/>
      <c r="AK25" s="55" t="str">
        <f ca="1">IFERROR(MATCH(INDIRECT("AJ25"),'1.Locations'!B2:B21, 0) - 1," ")</f>
        <v xml:space="preserve"> </v>
      </c>
      <c r="AL25" s="55" t="e">
        <f ca="1">IFERROR(IF(ISNUMBER(AK25),INDEX('1.Locations'!D2:D21,AK25 + 1),NA()),NA())</f>
        <v>#N/A</v>
      </c>
      <c r="AM25" s="55" t="e">
        <f ca="1">IFERROR(IF(ISNUMBER(AK25),INDEX('1.Locations'!E2:E21,AK25 + 1),NA()),NA())</f>
        <v>#N/A</v>
      </c>
      <c r="AN25" s="56" t="str">
        <f ca="1">IFERROR(IF(ISNUMBER(AK25),INDEX('2.Distances'!C2:C401,AK24*20+AK25+ 1) +AN24," ")," ")</f>
        <v xml:space="preserve"> </v>
      </c>
      <c r="AO25" s="57" t="str">
        <f ca="1">IFERROR(IF(ISNUMBER(AK25),'3.Vehicles'!F2 * INDEX('2.Distances'!D2:D401,AK24*20+AK25 + 1) +AO24," ")," ")</f>
        <v xml:space="preserve"> </v>
      </c>
      <c r="AP25" s="58" t="str">
        <f ca="1">IFERROR(IF(ISNUMBER(AK25),'3.Vehicles'!F2 * INDEX('2.Distances'!D2:D401,AK24*20+AK25 + 1) +AQ24," ")," ")</f>
        <v xml:space="preserve"> </v>
      </c>
      <c r="AQ25" s="58" t="str">
        <f ca="1">IFERROR(IF(AND(AK5&lt;&gt;AK25,ISNUMBER(AP25)),INDEX('1.Locations'!I2:I21,AK25 + 1) + MAX(AP25,INDEX('1.Locations'!F2:F21,AK25 + 1))," ")," ")</f>
        <v xml:space="preserve"> </v>
      </c>
      <c r="AR25" s="57" t="str">
        <f ca="1">IFERROR(IF(AND(AJ25 = AJ5, AJ26 = ""), AP25 - AQ5, AQ25 - AQ5)," ")</f>
        <v xml:space="preserve"> </v>
      </c>
      <c r="AS25" s="55" t="str">
        <f ca="1">IFERROR(IF(ISNUMBER(AK25),INDEX('1.Locations'!L2:L21,AK25 + 1) + AS24," ")," ")</f>
        <v xml:space="preserve"> </v>
      </c>
      <c r="AT25" s="56" t="str">
        <f ca="1">IFERROR(IF(ISNUMBER(AK25),INDEX('1.Locations'!J2:J21,AK25 + 1)," ")," ")</f>
        <v xml:space="preserve"> </v>
      </c>
      <c r="AU25" s="56" t="str">
        <f ca="1">IFERROR(IF(ISNUMBER(AK25),INDEX('1.Locations'!K2:K21,AK25 + 1)," ")," ")</f>
        <v xml:space="preserve"> </v>
      </c>
      <c r="AV25" s="56" t="str">
        <f ca="1">IFERROR(IF(ISNUMBER(AK25),IF(AJ25 = AJ5, 0, AT25 + AV24)," ")," ")</f>
        <v xml:space="preserve"> </v>
      </c>
      <c r="AW25" s="56" t="str">
        <f ca="1">IFERROR(IF(ISNUMBER(AK25),IF(AJ26 = AJ5, 0, IF(AJ26 = "", 0, AW26 + AU26))," ")," ")</f>
        <v xml:space="preserve"> </v>
      </c>
      <c r="AX25" s="55" t="str">
        <f ca="1">IFERROR(IF(ISNUMBER(AK25),AV25 + AW25," ")," ")</f>
        <v xml:space="preserve"> </v>
      </c>
      <c r="AZ25" s="14">
        <v>20</v>
      </c>
      <c r="BA25" s="64"/>
      <c r="BB25" s="55" t="str">
        <f ca="1">IFERROR(MATCH(INDIRECT("BA25"),'1.Locations'!B2:B21, 0) - 1," ")</f>
        <v xml:space="preserve"> </v>
      </c>
      <c r="BC25" s="55" t="e">
        <f ca="1">IFERROR(IF(ISNUMBER(BB25),INDEX('1.Locations'!D2:D21,BB25 + 1),NA()),NA())</f>
        <v>#N/A</v>
      </c>
      <c r="BD25" s="55" t="e">
        <f ca="1">IFERROR(IF(ISNUMBER(BB25),INDEX('1.Locations'!E2:E21,BB25 + 1),NA()),NA())</f>
        <v>#N/A</v>
      </c>
      <c r="BE25" s="56" t="str">
        <f ca="1">IFERROR(IF(ISNUMBER(BB25),INDEX('2.Distances'!C2:C401,BB24*20+BB25+ 1) +BE24," ")," ")</f>
        <v xml:space="preserve"> </v>
      </c>
      <c r="BF25" s="57" t="str">
        <f ca="1">IFERROR(IF(ISNUMBER(BB25),'3.Vehicles'!F2 * INDEX('2.Distances'!D2:D401,BB24*20+BB25 + 1) +BF24," ")," ")</f>
        <v xml:space="preserve"> </v>
      </c>
      <c r="BG25" s="58" t="str">
        <f ca="1">IFERROR(IF(ISNUMBER(BB25),'3.Vehicles'!F2 * INDEX('2.Distances'!D2:D401,BB24*20+BB25 + 1) +BH24," ")," ")</f>
        <v xml:space="preserve"> </v>
      </c>
      <c r="BH25" s="58" t="str">
        <f ca="1">IFERROR(IF(AND(BB5&lt;&gt;BB25,ISNUMBER(BG25)),INDEX('1.Locations'!I2:I21,BB25 + 1) + MAX(BG25,INDEX('1.Locations'!F2:F21,BB25 + 1))," ")," ")</f>
        <v xml:space="preserve"> </v>
      </c>
      <c r="BI25" s="57" t="str">
        <f ca="1">IFERROR(IF(AND(BA25 = BA5, BA26 = ""), BG25 - BH5, BH25 - BH5)," ")</f>
        <v xml:space="preserve"> </v>
      </c>
      <c r="BJ25" s="55" t="str">
        <f ca="1">IFERROR(IF(ISNUMBER(BB25),INDEX('1.Locations'!L2:L21,BB25 + 1) + BJ24," ")," ")</f>
        <v xml:space="preserve"> </v>
      </c>
      <c r="BK25" s="56" t="str">
        <f ca="1">IFERROR(IF(ISNUMBER(BB25),INDEX('1.Locations'!J2:J21,BB25 + 1)," ")," ")</f>
        <v xml:space="preserve"> </v>
      </c>
      <c r="BL25" s="56" t="str">
        <f ca="1">IFERROR(IF(ISNUMBER(BB25),INDEX('1.Locations'!K2:K21,BB25 + 1)," ")," ")</f>
        <v xml:space="preserve"> </v>
      </c>
      <c r="BM25" s="56" t="str">
        <f ca="1">IFERROR(IF(ISNUMBER(BB25),IF(BA25 = BA5, 0, BK25 + BM24)," ")," ")</f>
        <v xml:space="preserve"> </v>
      </c>
      <c r="BN25" s="56" t="str">
        <f ca="1">IFERROR(IF(ISNUMBER(BB25),IF(BA26 = BA5, 0, IF(BA26 = "", 0, BN26 + BL26))," ")," ")</f>
        <v xml:space="preserve"> </v>
      </c>
      <c r="BO25" s="55" t="str">
        <f ca="1">IFERROR(IF(ISNUMBER(BB25),BM25 + BN25," ")," ")</f>
        <v xml:space="preserve"> </v>
      </c>
      <c r="BQ25" s="14">
        <v>20</v>
      </c>
      <c r="BR25" s="64"/>
      <c r="BS25" s="55" t="str">
        <f ca="1">IFERROR(MATCH(INDIRECT("BR25"),'1.Locations'!B2:B21, 0) - 1," ")</f>
        <v xml:space="preserve"> </v>
      </c>
      <c r="BT25" s="55" t="e">
        <f ca="1">IFERROR(IF(ISNUMBER(BS25),INDEX('1.Locations'!D2:D21,BS25 + 1),NA()),NA())</f>
        <v>#N/A</v>
      </c>
      <c r="BU25" s="55" t="e">
        <f ca="1">IFERROR(IF(ISNUMBER(BS25),INDEX('1.Locations'!E2:E21,BS25 + 1),NA()),NA())</f>
        <v>#N/A</v>
      </c>
      <c r="BV25" s="56" t="str">
        <f ca="1">IFERROR(IF(ISNUMBER(BS25),INDEX('2.Distances'!C2:C401,BS24*20+BS25+ 1) +BV24," ")," ")</f>
        <v xml:space="preserve"> </v>
      </c>
      <c r="BW25" s="57" t="str">
        <f ca="1">IFERROR(IF(ISNUMBER(BS25),'3.Vehicles'!F2 * INDEX('2.Distances'!D2:D401,BS24*20+BS25 + 1) +BW24," ")," ")</f>
        <v xml:space="preserve"> </v>
      </c>
      <c r="BX25" s="58" t="str">
        <f ca="1">IFERROR(IF(ISNUMBER(BS25),'3.Vehicles'!F2 * INDEX('2.Distances'!D2:D401,BS24*20+BS25 + 1) +BY24," ")," ")</f>
        <v xml:space="preserve"> </v>
      </c>
      <c r="BY25" s="58" t="str">
        <f ca="1">IFERROR(IF(AND(BS5&lt;&gt;BS25,ISNUMBER(BX25)),INDEX('1.Locations'!I2:I21,BS25 + 1) + MAX(BX25,INDEX('1.Locations'!F2:F21,BS25 + 1))," ")," ")</f>
        <v xml:space="preserve"> </v>
      </c>
      <c r="BZ25" s="57" t="str">
        <f ca="1">IFERROR(IF(AND(BR25 = BR5, BR26 = ""), BX25 - BY5, BY25 - BY5)," ")</f>
        <v xml:space="preserve"> </v>
      </c>
      <c r="CA25" s="55" t="str">
        <f ca="1">IFERROR(IF(ISNUMBER(BS25),INDEX('1.Locations'!L2:L21,BS25 + 1) + CA24," ")," ")</f>
        <v xml:space="preserve"> </v>
      </c>
      <c r="CB25" s="56" t="str">
        <f ca="1">IFERROR(IF(ISNUMBER(BS25),INDEX('1.Locations'!J2:J21,BS25 + 1)," ")," ")</f>
        <v xml:space="preserve"> </v>
      </c>
      <c r="CC25" s="56" t="str">
        <f ca="1">IFERROR(IF(ISNUMBER(BS25),INDEX('1.Locations'!K2:K21,BS25 + 1)," ")," ")</f>
        <v xml:space="preserve"> </v>
      </c>
      <c r="CD25" s="56" t="str">
        <f ca="1">IFERROR(IF(ISNUMBER(BS25),IF(BR25 = BR5, 0, CB25 + CD24)," ")," ")</f>
        <v xml:space="preserve"> </v>
      </c>
      <c r="CE25" s="56" t="str">
        <f ca="1">IFERROR(IF(ISNUMBER(BS25),IF(BR26 = BR5, 0, IF(BR26 = "", 0, CE26 + CC26))," ")," ")</f>
        <v xml:space="preserve"> </v>
      </c>
      <c r="CF25" s="55" t="str">
        <f ca="1">IFERROR(IF(ISNUMBER(BS25),CD25 + CE25," ")," ")</f>
        <v xml:space="preserve"> </v>
      </c>
      <c r="CH25" s="14">
        <v>20</v>
      </c>
      <c r="CI25" s="64"/>
      <c r="CJ25" s="55" t="str">
        <f ca="1">IFERROR(MATCH(INDIRECT("CI25"),'1.Locations'!B2:B21, 0) - 1," ")</f>
        <v xml:space="preserve"> </v>
      </c>
      <c r="CK25" s="55" t="e">
        <f ca="1">IFERROR(IF(ISNUMBER(CJ25),INDEX('1.Locations'!D2:D21,CJ25 + 1),NA()),NA())</f>
        <v>#N/A</v>
      </c>
      <c r="CL25" s="55" t="e">
        <f ca="1">IFERROR(IF(ISNUMBER(CJ25),INDEX('1.Locations'!E2:E21,CJ25 + 1),NA()),NA())</f>
        <v>#N/A</v>
      </c>
      <c r="CM25" s="56" t="str">
        <f ca="1">IFERROR(IF(ISNUMBER(CJ25),INDEX('2.Distances'!C2:C401,CJ24*20+CJ25+ 1) +CM24," ")," ")</f>
        <v xml:space="preserve"> </v>
      </c>
      <c r="CN25" s="57" t="str">
        <f ca="1">IFERROR(IF(ISNUMBER(CJ25),'3.Vehicles'!F2 * INDEX('2.Distances'!D2:D401,CJ24*20+CJ25 + 1) +CN24," ")," ")</f>
        <v xml:space="preserve"> </v>
      </c>
      <c r="CO25" s="58" t="str">
        <f ca="1">IFERROR(IF(ISNUMBER(CJ25),'3.Vehicles'!F2 * INDEX('2.Distances'!D2:D401,CJ24*20+CJ25 + 1) +CP24," ")," ")</f>
        <v xml:space="preserve"> </v>
      </c>
      <c r="CP25" s="58" t="str">
        <f ca="1">IFERROR(IF(AND(CJ5&lt;&gt;CJ25,ISNUMBER(CO25)),INDEX('1.Locations'!I2:I21,CJ25 + 1) + MAX(CO25,INDEX('1.Locations'!F2:F21,CJ25 + 1))," ")," ")</f>
        <v xml:space="preserve"> </v>
      </c>
      <c r="CQ25" s="57" t="str">
        <f ca="1">IFERROR(IF(AND(CI25 = CI5, CI26 = ""), CO25 - CP5, CP25 - CP5)," ")</f>
        <v xml:space="preserve"> </v>
      </c>
      <c r="CR25" s="55" t="str">
        <f ca="1">IFERROR(IF(ISNUMBER(CJ25),INDEX('1.Locations'!L2:L21,CJ25 + 1) + CR24," ")," ")</f>
        <v xml:space="preserve"> </v>
      </c>
      <c r="CS25" s="56" t="str">
        <f ca="1">IFERROR(IF(ISNUMBER(CJ25),INDEX('1.Locations'!J2:J21,CJ25 + 1)," ")," ")</f>
        <v xml:space="preserve"> </v>
      </c>
      <c r="CT25" s="56" t="str">
        <f ca="1">IFERROR(IF(ISNUMBER(CJ25),INDEX('1.Locations'!K2:K21,CJ25 + 1)," ")," ")</f>
        <v xml:space="preserve"> </v>
      </c>
      <c r="CU25" s="56" t="str">
        <f ca="1">IFERROR(IF(ISNUMBER(CJ25),IF(CI25 = CI5, 0, CS25 + CU24)," ")," ")</f>
        <v xml:space="preserve"> </v>
      </c>
      <c r="CV25" s="56" t="str">
        <f ca="1">IFERROR(IF(ISNUMBER(CJ25),IF(CI26 = CI5, 0, IF(CI26 = "", 0, CV26 + CT26))," ")," ")</f>
        <v xml:space="preserve"> </v>
      </c>
      <c r="CW25" s="55" t="str">
        <f ca="1">IFERROR(IF(ISNUMBER(CJ25),CU25 + CV25," ")," ")</f>
        <v xml:space="preserve"> </v>
      </c>
      <c r="CY25" s="14">
        <v>20</v>
      </c>
      <c r="CZ25" s="64"/>
      <c r="DA25" s="55" t="str">
        <f ca="1">IFERROR(MATCH(INDIRECT("CZ25"),'1.Locations'!B2:B21, 0) - 1," ")</f>
        <v xml:space="preserve"> </v>
      </c>
      <c r="DB25" s="55" t="e">
        <f ca="1">IFERROR(IF(ISNUMBER(DA25),INDEX('1.Locations'!D2:D21,DA25 + 1),NA()),NA())</f>
        <v>#N/A</v>
      </c>
      <c r="DC25" s="55" t="e">
        <f ca="1">IFERROR(IF(ISNUMBER(DA25),INDEX('1.Locations'!E2:E21,DA25 + 1),NA()),NA())</f>
        <v>#N/A</v>
      </c>
      <c r="DD25" s="56" t="str">
        <f ca="1">IFERROR(IF(ISNUMBER(DA25),INDEX('2.Distances'!C2:C401,DA24*20+DA25+ 1) +DD24," ")," ")</f>
        <v xml:space="preserve"> </v>
      </c>
      <c r="DE25" s="57" t="str">
        <f ca="1">IFERROR(IF(ISNUMBER(DA25),'3.Vehicles'!F2 * INDEX('2.Distances'!D2:D401,DA24*20+DA25 + 1) +DE24," ")," ")</f>
        <v xml:space="preserve"> </v>
      </c>
      <c r="DF25" s="58" t="str">
        <f ca="1">IFERROR(IF(ISNUMBER(DA25),'3.Vehicles'!F2 * INDEX('2.Distances'!D2:D401,DA24*20+DA25 + 1) +DG24," ")," ")</f>
        <v xml:space="preserve"> </v>
      </c>
      <c r="DG25" s="58" t="str">
        <f ca="1">IFERROR(IF(AND(DA5&lt;&gt;DA25,ISNUMBER(DF25)),INDEX('1.Locations'!I2:I21,DA25 + 1) + MAX(DF25,INDEX('1.Locations'!F2:F21,DA25 + 1))," ")," ")</f>
        <v xml:space="preserve"> </v>
      </c>
      <c r="DH25" s="57" t="str">
        <f ca="1">IFERROR(IF(AND(CZ25 = CZ5, CZ26 = ""), DF25 - DG5, DG25 - DG5)," ")</f>
        <v xml:space="preserve"> </v>
      </c>
      <c r="DI25" s="55" t="str">
        <f ca="1">IFERROR(IF(ISNUMBER(DA25),INDEX('1.Locations'!L2:L21,DA25 + 1) + DI24," ")," ")</f>
        <v xml:space="preserve"> </v>
      </c>
      <c r="DJ25" s="56" t="str">
        <f ca="1">IFERROR(IF(ISNUMBER(DA25),INDEX('1.Locations'!J2:J21,DA25 + 1)," ")," ")</f>
        <v xml:space="preserve"> </v>
      </c>
      <c r="DK25" s="56" t="str">
        <f ca="1">IFERROR(IF(ISNUMBER(DA25),INDEX('1.Locations'!K2:K21,DA25 + 1)," ")," ")</f>
        <v xml:space="preserve"> </v>
      </c>
      <c r="DL25" s="56" t="str">
        <f ca="1">IFERROR(IF(ISNUMBER(DA25),IF(CZ25 = CZ5, 0, DJ25 + DL24)," ")," ")</f>
        <v xml:space="preserve"> </v>
      </c>
      <c r="DM25" s="56" t="str">
        <f ca="1">IFERROR(IF(ISNUMBER(DA25),IF(CZ26 = CZ5, 0, IF(CZ26 = "", 0, DM26 + DK26))," ")," ")</f>
        <v xml:space="preserve"> </v>
      </c>
      <c r="DN25" s="55" t="str">
        <f ca="1">IFERROR(IF(ISNUMBER(DA25),DL25 + DM25," ")," ")</f>
        <v xml:space="preserve"> </v>
      </c>
      <c r="DP25" s="14">
        <v>20</v>
      </c>
      <c r="DQ25" s="64"/>
      <c r="DR25" s="55" t="str">
        <f ca="1">IFERROR(MATCH(INDIRECT("DQ25"),'1.Locations'!B2:B21, 0) - 1," ")</f>
        <v xml:space="preserve"> </v>
      </c>
      <c r="DS25" s="55" t="e">
        <f ca="1">IFERROR(IF(ISNUMBER(DR25),INDEX('1.Locations'!D2:D21,DR25 + 1),NA()),NA())</f>
        <v>#N/A</v>
      </c>
      <c r="DT25" s="55" t="e">
        <f ca="1">IFERROR(IF(ISNUMBER(DR25),INDEX('1.Locations'!E2:E21,DR25 + 1),NA()),NA())</f>
        <v>#N/A</v>
      </c>
      <c r="DU25" s="56" t="str">
        <f ca="1">IFERROR(IF(ISNUMBER(DR25),INDEX('2.Distances'!C2:C401,DR24*20+DR25+ 1) +DU24," ")," ")</f>
        <v xml:space="preserve"> </v>
      </c>
      <c r="DV25" s="57" t="str">
        <f ca="1">IFERROR(IF(ISNUMBER(DR25),'3.Vehicles'!F2 * INDEX('2.Distances'!D2:D401,DR24*20+DR25 + 1) +DV24," ")," ")</f>
        <v xml:space="preserve"> </v>
      </c>
      <c r="DW25" s="58" t="str">
        <f ca="1">IFERROR(IF(ISNUMBER(DR25),'3.Vehicles'!F2 * INDEX('2.Distances'!D2:D401,DR24*20+DR25 + 1) +DX24," ")," ")</f>
        <v xml:space="preserve"> </v>
      </c>
      <c r="DX25" s="58" t="str">
        <f ca="1">IFERROR(IF(AND(DR5&lt;&gt;DR25,ISNUMBER(DW25)),INDEX('1.Locations'!I2:I21,DR25 + 1) + MAX(DW25,INDEX('1.Locations'!F2:F21,DR25 + 1))," ")," ")</f>
        <v xml:space="preserve"> </v>
      </c>
      <c r="DY25" s="57" t="str">
        <f ca="1">IFERROR(IF(AND(DQ25 = DQ5, DQ26 = ""), DW25 - DX5, DX25 - DX5)," ")</f>
        <v xml:space="preserve"> </v>
      </c>
      <c r="DZ25" s="55" t="str">
        <f ca="1">IFERROR(IF(ISNUMBER(DR25),INDEX('1.Locations'!L2:L21,DR25 + 1) + DZ24," ")," ")</f>
        <v xml:space="preserve"> </v>
      </c>
      <c r="EA25" s="56" t="str">
        <f ca="1">IFERROR(IF(ISNUMBER(DR25),INDEX('1.Locations'!J2:J21,DR25 + 1)," ")," ")</f>
        <v xml:space="preserve"> </v>
      </c>
      <c r="EB25" s="56" t="str">
        <f ca="1">IFERROR(IF(ISNUMBER(DR25),INDEX('1.Locations'!K2:K21,DR25 + 1)," ")," ")</f>
        <v xml:space="preserve"> </v>
      </c>
      <c r="EC25" s="56" t="str">
        <f ca="1">IFERROR(IF(ISNUMBER(DR25),IF(DQ25 = DQ5, 0, EA25 + EC24)," ")," ")</f>
        <v xml:space="preserve"> </v>
      </c>
      <c r="ED25" s="56" t="str">
        <f ca="1">IFERROR(IF(ISNUMBER(DR25),IF(DQ26 = DQ5, 0, IF(DQ26 = "", 0, ED26 + EB26))," ")," ")</f>
        <v xml:space="preserve"> </v>
      </c>
      <c r="EE25" s="55" t="str">
        <f ca="1">IFERROR(IF(ISNUMBER(DR25),EC25 + ED25," ")," ")</f>
        <v xml:space="preserve"> </v>
      </c>
      <c r="EG25" s="14">
        <v>20</v>
      </c>
      <c r="EH25" s="64"/>
      <c r="EI25" s="55" t="str">
        <f ca="1">IFERROR(MATCH(INDIRECT("EH25"),'1.Locations'!B2:B21, 0) - 1," ")</f>
        <v xml:space="preserve"> </v>
      </c>
      <c r="EJ25" s="55" t="e">
        <f ca="1">IFERROR(IF(ISNUMBER(EI25),INDEX('1.Locations'!D2:D21,EI25 + 1),NA()),NA())</f>
        <v>#N/A</v>
      </c>
      <c r="EK25" s="55" t="e">
        <f ca="1">IFERROR(IF(ISNUMBER(EI25),INDEX('1.Locations'!E2:E21,EI25 + 1),NA()),NA())</f>
        <v>#N/A</v>
      </c>
      <c r="EL25" s="56" t="str">
        <f ca="1">IFERROR(IF(ISNUMBER(EI25),INDEX('2.Distances'!C2:C401,EI24*20+EI25+ 1) +EL24," ")," ")</f>
        <v xml:space="preserve"> </v>
      </c>
      <c r="EM25" s="57" t="str">
        <f ca="1">IFERROR(IF(ISNUMBER(EI25),'3.Vehicles'!F2 * INDEX('2.Distances'!D2:D401,EI24*20+EI25 + 1) +EM24," ")," ")</f>
        <v xml:space="preserve"> </v>
      </c>
      <c r="EN25" s="58" t="str">
        <f ca="1">IFERROR(IF(ISNUMBER(EI25),'3.Vehicles'!F2 * INDEX('2.Distances'!D2:D401,EI24*20+EI25 + 1) +EO24," ")," ")</f>
        <v xml:space="preserve"> </v>
      </c>
      <c r="EO25" s="58" t="str">
        <f ca="1">IFERROR(IF(AND(EI5&lt;&gt;EI25,ISNUMBER(EN25)),INDEX('1.Locations'!I2:I21,EI25 + 1) + MAX(EN25,INDEX('1.Locations'!F2:F21,EI25 + 1))," ")," ")</f>
        <v xml:space="preserve"> </v>
      </c>
      <c r="EP25" s="57" t="str">
        <f ca="1">IFERROR(IF(AND(EH25 = EH5, EH26 = ""), EN25 - EO5, EO25 - EO5)," ")</f>
        <v xml:space="preserve"> </v>
      </c>
      <c r="EQ25" s="55" t="str">
        <f ca="1">IFERROR(IF(ISNUMBER(EI25),INDEX('1.Locations'!L2:L21,EI25 + 1) + EQ24," ")," ")</f>
        <v xml:space="preserve"> </v>
      </c>
      <c r="ER25" s="56" t="str">
        <f ca="1">IFERROR(IF(ISNUMBER(EI25),INDEX('1.Locations'!J2:J21,EI25 + 1)," ")," ")</f>
        <v xml:space="preserve"> </v>
      </c>
      <c r="ES25" s="56" t="str">
        <f ca="1">IFERROR(IF(ISNUMBER(EI25),INDEX('1.Locations'!K2:K21,EI25 + 1)," ")," ")</f>
        <v xml:space="preserve"> </v>
      </c>
      <c r="ET25" s="56" t="str">
        <f ca="1">IFERROR(IF(ISNUMBER(EI25),IF(EH25 = EH5, 0, ER25 + ET24)," ")," ")</f>
        <v xml:space="preserve"> </v>
      </c>
      <c r="EU25" s="56" t="str">
        <f ca="1">IFERROR(IF(ISNUMBER(EI25),IF(EH26 = EH5, 0, IF(EH26 = "", 0, EU26 + ES26))," ")," ")</f>
        <v xml:space="preserve"> </v>
      </c>
      <c r="EV25" s="55" t="str">
        <f ca="1">IFERROR(IF(ISNUMBER(EI25),ET25 + EU25," ")," ")</f>
        <v xml:space="preserve"> </v>
      </c>
      <c r="EX25" s="14">
        <v>20</v>
      </c>
      <c r="EY25" s="64"/>
      <c r="EZ25" s="55" t="str">
        <f ca="1">IFERROR(MATCH(INDIRECT("EY25"),'1.Locations'!B2:B21, 0) - 1," ")</f>
        <v xml:space="preserve"> </v>
      </c>
      <c r="FA25" s="55" t="e">
        <f ca="1">IFERROR(IF(ISNUMBER(EZ25),INDEX('1.Locations'!D2:D21,EZ25 + 1),NA()),NA())</f>
        <v>#N/A</v>
      </c>
      <c r="FB25" s="55" t="e">
        <f ca="1">IFERROR(IF(ISNUMBER(EZ25),INDEX('1.Locations'!E2:E21,EZ25 + 1),NA()),NA())</f>
        <v>#N/A</v>
      </c>
      <c r="FC25" s="56" t="str">
        <f ca="1">IFERROR(IF(ISNUMBER(EZ25),INDEX('2.Distances'!C2:C401,EZ24*20+EZ25+ 1) +FC24," ")," ")</f>
        <v xml:space="preserve"> </v>
      </c>
      <c r="FD25" s="57" t="str">
        <f ca="1">IFERROR(IF(ISNUMBER(EZ25),'3.Vehicles'!F2 * INDEX('2.Distances'!D2:D401,EZ24*20+EZ25 + 1) +FD24," ")," ")</f>
        <v xml:space="preserve"> </v>
      </c>
      <c r="FE25" s="58" t="str">
        <f ca="1">IFERROR(IF(ISNUMBER(EZ25),'3.Vehicles'!F2 * INDEX('2.Distances'!D2:D401,EZ24*20+EZ25 + 1) +FF24," ")," ")</f>
        <v xml:space="preserve"> </v>
      </c>
      <c r="FF25" s="58" t="str">
        <f ca="1">IFERROR(IF(AND(EZ5&lt;&gt;EZ25,ISNUMBER(FE25)),INDEX('1.Locations'!I2:I21,EZ25 + 1) + MAX(FE25,INDEX('1.Locations'!F2:F21,EZ25 + 1))," ")," ")</f>
        <v xml:space="preserve"> </v>
      </c>
      <c r="FG25" s="57" t="str">
        <f ca="1">IFERROR(IF(AND(EY25 = EY5, EY26 = ""), FE25 - FF5, FF25 - FF5)," ")</f>
        <v xml:space="preserve"> </v>
      </c>
      <c r="FH25" s="55" t="str">
        <f ca="1">IFERROR(IF(ISNUMBER(EZ25),INDEX('1.Locations'!L2:L21,EZ25 + 1) + FH24," ")," ")</f>
        <v xml:space="preserve"> </v>
      </c>
      <c r="FI25" s="56" t="str">
        <f ca="1">IFERROR(IF(ISNUMBER(EZ25),INDEX('1.Locations'!J2:J21,EZ25 + 1)," ")," ")</f>
        <v xml:space="preserve"> </v>
      </c>
      <c r="FJ25" s="56" t="str">
        <f ca="1">IFERROR(IF(ISNUMBER(EZ25),INDEX('1.Locations'!K2:K21,EZ25 + 1)," ")," ")</f>
        <v xml:space="preserve"> </v>
      </c>
      <c r="FK25" s="56" t="str">
        <f ca="1">IFERROR(IF(ISNUMBER(EZ25),IF(EY25 = EY5, 0, FI25 + FK24)," ")," ")</f>
        <v xml:space="preserve"> </v>
      </c>
      <c r="FL25" s="56" t="str">
        <f ca="1">IFERROR(IF(ISNUMBER(EZ25),IF(EY26 = EY5, 0, IF(EY26 = "", 0, FL26 + FJ26))," ")," ")</f>
        <v xml:space="preserve"> </v>
      </c>
      <c r="FM25" s="55" t="str">
        <f ca="1">IFERROR(IF(ISNUMBER(EZ25),FK25 + FL25," ")," ")</f>
        <v xml:space="preserve"> </v>
      </c>
    </row>
    <row r="27" spans="1:169" x14ac:dyDescent="0.3">
      <c r="A27" s="9" t="s">
        <v>113</v>
      </c>
    </row>
  </sheetData>
  <conditionalFormatting sqref="F6:F25">
    <cfRule type="cellIs" dxfId="658" priority="40" stopIfTrue="1" operator="equal">
      <formula>" "</formula>
    </cfRule>
  </conditionalFormatting>
  <conditionalFormatting sqref="P6:P25">
    <cfRule type="cellIs" dxfId="656" priority="39" stopIfTrue="1" operator="equal">
      <formula>" "</formula>
    </cfRule>
  </conditionalFormatting>
  <conditionalFormatting sqref="P6:P25">
    <cfRule type="cellIs" dxfId="654" priority="105" stopIfTrue="1" operator="lessThan">
      <formula>0</formula>
    </cfRule>
  </conditionalFormatting>
  <conditionalFormatting sqref="G6:G25">
    <cfRule type="cellIs" dxfId="653" priority="38" stopIfTrue="1" operator="equal">
      <formula>" "</formula>
    </cfRule>
  </conditionalFormatting>
  <conditionalFormatting sqref="J6:J25">
    <cfRule type="cellIs" dxfId="651" priority="37" stopIfTrue="1" operator="equal">
      <formula>" "</formula>
    </cfRule>
  </conditionalFormatting>
  <conditionalFormatting sqref="I3">
    <cfRule type="expression" dxfId="649" priority="108" stopIfTrue="1">
      <formula>ISERROR(I3)</formula>
    </cfRule>
  </conditionalFormatting>
  <conditionalFormatting sqref="W6:W25">
    <cfRule type="cellIs" dxfId="586" priority="36" stopIfTrue="1" operator="equal">
      <formula>" "</formula>
    </cfRule>
  </conditionalFormatting>
  <conditionalFormatting sqref="AG6:AG25">
    <cfRule type="cellIs" dxfId="584" priority="35" stopIfTrue="1" operator="equal">
      <formula>" "</formula>
    </cfRule>
  </conditionalFormatting>
  <conditionalFormatting sqref="AG6:AG25">
    <cfRule type="cellIs" dxfId="582" priority="173" stopIfTrue="1" operator="lessThan">
      <formula>0</formula>
    </cfRule>
  </conditionalFormatting>
  <conditionalFormatting sqref="X6:X25">
    <cfRule type="cellIs" dxfId="581" priority="34" stopIfTrue="1" operator="equal">
      <formula>" "</formula>
    </cfRule>
  </conditionalFormatting>
  <conditionalFormatting sqref="AA6:AA25">
    <cfRule type="cellIs" dxfId="579" priority="33" stopIfTrue="1" operator="equal">
      <formula>" "</formula>
    </cfRule>
  </conditionalFormatting>
  <conditionalFormatting sqref="Z3">
    <cfRule type="expression" dxfId="577" priority="176" stopIfTrue="1">
      <formula>ISERROR(Z3)</formula>
    </cfRule>
  </conditionalFormatting>
  <conditionalFormatting sqref="AN6:AN25">
    <cfRule type="cellIs" dxfId="514" priority="32" stopIfTrue="1" operator="equal">
      <formula>" "</formula>
    </cfRule>
  </conditionalFormatting>
  <conditionalFormatting sqref="AX6:AX25">
    <cfRule type="cellIs" dxfId="512" priority="31" stopIfTrue="1" operator="equal">
      <formula>" "</formula>
    </cfRule>
  </conditionalFormatting>
  <conditionalFormatting sqref="AX6:AX25">
    <cfRule type="cellIs" dxfId="510" priority="241" stopIfTrue="1" operator="lessThan">
      <formula>0</formula>
    </cfRule>
  </conditionalFormatting>
  <conditionalFormatting sqref="AO6:AO25">
    <cfRule type="cellIs" dxfId="509" priority="30" stopIfTrue="1" operator="equal">
      <formula>" "</formula>
    </cfRule>
  </conditionalFormatting>
  <conditionalFormatting sqref="AR6:AR25">
    <cfRule type="cellIs" dxfId="507" priority="29" stopIfTrue="1" operator="equal">
      <formula>" "</formula>
    </cfRule>
  </conditionalFormatting>
  <conditionalFormatting sqref="AQ3">
    <cfRule type="expression" dxfId="505" priority="244" stopIfTrue="1">
      <formula>ISERROR(AQ3)</formula>
    </cfRule>
  </conditionalFormatting>
  <conditionalFormatting sqref="BE6:BE25">
    <cfRule type="cellIs" dxfId="442" priority="28" stopIfTrue="1" operator="equal">
      <formula>" "</formula>
    </cfRule>
  </conditionalFormatting>
  <conditionalFormatting sqref="BO6:BO25">
    <cfRule type="cellIs" dxfId="440" priority="27" stopIfTrue="1" operator="equal">
      <formula>" "</formula>
    </cfRule>
  </conditionalFormatting>
  <conditionalFormatting sqref="BO6:BO25">
    <cfRule type="cellIs" dxfId="438" priority="309" stopIfTrue="1" operator="lessThan">
      <formula>0</formula>
    </cfRule>
  </conditionalFormatting>
  <conditionalFormatting sqref="BF6:BF25">
    <cfRule type="cellIs" dxfId="437" priority="26" stopIfTrue="1" operator="equal">
      <formula>" "</formula>
    </cfRule>
  </conditionalFormatting>
  <conditionalFormatting sqref="BI6:BI25">
    <cfRule type="cellIs" dxfId="435" priority="25" stopIfTrue="1" operator="equal">
      <formula>" "</formula>
    </cfRule>
  </conditionalFormatting>
  <conditionalFormatting sqref="BH3">
    <cfRule type="expression" dxfId="433" priority="312" stopIfTrue="1">
      <formula>ISERROR(BH3)</formula>
    </cfRule>
  </conditionalFormatting>
  <conditionalFormatting sqref="BV6:BV25">
    <cfRule type="cellIs" dxfId="370" priority="24" stopIfTrue="1" operator="equal">
      <formula>" "</formula>
    </cfRule>
  </conditionalFormatting>
  <conditionalFormatting sqref="CF6:CF25">
    <cfRule type="cellIs" dxfId="368" priority="23" stopIfTrue="1" operator="equal">
      <formula>" "</formula>
    </cfRule>
  </conditionalFormatting>
  <conditionalFormatting sqref="CF6:CF25">
    <cfRule type="cellIs" dxfId="366" priority="377" stopIfTrue="1" operator="lessThan">
      <formula>0</formula>
    </cfRule>
  </conditionalFormatting>
  <conditionalFormatting sqref="BW6:BW25">
    <cfRule type="cellIs" dxfId="365" priority="22" stopIfTrue="1" operator="equal">
      <formula>" "</formula>
    </cfRule>
  </conditionalFormatting>
  <conditionalFormatting sqref="BZ6:BZ25">
    <cfRule type="cellIs" dxfId="363" priority="21" stopIfTrue="1" operator="equal">
      <formula>" "</formula>
    </cfRule>
  </conditionalFormatting>
  <conditionalFormatting sqref="BY3">
    <cfRule type="expression" dxfId="361" priority="380" stopIfTrue="1">
      <formula>ISERROR(BY3)</formula>
    </cfRule>
  </conditionalFormatting>
  <conditionalFormatting sqref="CM6:CM25">
    <cfRule type="cellIs" dxfId="298" priority="20" stopIfTrue="1" operator="equal">
      <formula>" "</formula>
    </cfRule>
  </conditionalFormatting>
  <conditionalFormatting sqref="CW6:CW25">
    <cfRule type="cellIs" dxfId="296" priority="19" stopIfTrue="1" operator="equal">
      <formula>" "</formula>
    </cfRule>
  </conditionalFormatting>
  <conditionalFormatting sqref="CW6:CW25">
    <cfRule type="cellIs" dxfId="294" priority="445" stopIfTrue="1" operator="lessThan">
      <formula>0</formula>
    </cfRule>
  </conditionalFormatting>
  <conditionalFormatting sqref="CN6:CN25">
    <cfRule type="cellIs" dxfId="293" priority="18" stopIfTrue="1" operator="equal">
      <formula>" "</formula>
    </cfRule>
  </conditionalFormatting>
  <conditionalFormatting sqref="CQ6:CQ25">
    <cfRule type="cellIs" dxfId="291" priority="17" stopIfTrue="1" operator="equal">
      <formula>" "</formula>
    </cfRule>
  </conditionalFormatting>
  <conditionalFormatting sqref="CP3">
    <cfRule type="expression" dxfId="289" priority="448" stopIfTrue="1">
      <formula>ISERROR(CP3)</formula>
    </cfRule>
  </conditionalFormatting>
  <conditionalFormatting sqref="DD6:DD25">
    <cfRule type="cellIs" dxfId="226" priority="16" stopIfTrue="1" operator="equal">
      <formula>" "</formula>
    </cfRule>
  </conditionalFormatting>
  <conditionalFormatting sqref="DN6:DN25">
    <cfRule type="cellIs" dxfId="224" priority="15" stopIfTrue="1" operator="equal">
      <formula>" "</formula>
    </cfRule>
  </conditionalFormatting>
  <conditionalFormatting sqref="DN6:DN25">
    <cfRule type="cellIs" dxfId="222" priority="513" stopIfTrue="1" operator="lessThan">
      <formula>0</formula>
    </cfRule>
  </conditionalFormatting>
  <conditionalFormatting sqref="DE6:DE25">
    <cfRule type="cellIs" dxfId="221" priority="14" stopIfTrue="1" operator="equal">
      <formula>" "</formula>
    </cfRule>
  </conditionalFormatting>
  <conditionalFormatting sqref="DH6:DH25">
    <cfRule type="cellIs" dxfId="219" priority="13" stopIfTrue="1" operator="equal">
      <formula>" "</formula>
    </cfRule>
  </conditionalFormatting>
  <conditionalFormatting sqref="DG3">
    <cfRule type="expression" dxfId="217" priority="516" stopIfTrue="1">
      <formula>ISERROR(DG3)</formula>
    </cfRule>
  </conditionalFormatting>
  <conditionalFormatting sqref="DU6:DU25">
    <cfRule type="cellIs" dxfId="154" priority="12" stopIfTrue="1" operator="equal">
      <formula>" "</formula>
    </cfRule>
  </conditionalFormatting>
  <conditionalFormatting sqref="EE6:EE25">
    <cfRule type="cellIs" dxfId="152" priority="11" stopIfTrue="1" operator="equal">
      <formula>" "</formula>
    </cfRule>
  </conditionalFormatting>
  <conditionalFormatting sqref="EE6:EE25">
    <cfRule type="cellIs" dxfId="150" priority="581" stopIfTrue="1" operator="lessThan">
      <formula>0</formula>
    </cfRule>
  </conditionalFormatting>
  <conditionalFormatting sqref="DV6:DV25">
    <cfRule type="cellIs" dxfId="149" priority="10" stopIfTrue="1" operator="equal">
      <formula>" "</formula>
    </cfRule>
  </conditionalFormatting>
  <conditionalFormatting sqref="DY6:DY25">
    <cfRule type="cellIs" dxfId="147" priority="9" stopIfTrue="1" operator="equal">
      <formula>" "</formula>
    </cfRule>
  </conditionalFormatting>
  <conditionalFormatting sqref="DX3">
    <cfRule type="expression" dxfId="145" priority="584" stopIfTrue="1">
      <formula>ISERROR(DX3)</formula>
    </cfRule>
  </conditionalFormatting>
  <conditionalFormatting sqref="EL6:EL25">
    <cfRule type="cellIs" dxfId="82" priority="8" stopIfTrue="1" operator="equal">
      <formula>" "</formula>
    </cfRule>
  </conditionalFormatting>
  <conditionalFormatting sqref="EV6:EV25">
    <cfRule type="cellIs" dxfId="80" priority="7" stopIfTrue="1" operator="equal">
      <formula>" "</formula>
    </cfRule>
  </conditionalFormatting>
  <conditionalFormatting sqref="EV6:EV25">
    <cfRule type="cellIs" dxfId="78" priority="649" stopIfTrue="1" operator="lessThan">
      <formula>0</formula>
    </cfRule>
  </conditionalFormatting>
  <conditionalFormatting sqref="EM6:EM25">
    <cfRule type="cellIs" dxfId="77" priority="6" stopIfTrue="1" operator="equal">
      <formula>" "</formula>
    </cfRule>
  </conditionalFormatting>
  <conditionalFormatting sqref="EP6:EP25">
    <cfRule type="cellIs" dxfId="75" priority="5" stopIfTrue="1" operator="equal">
      <formula>" "</formula>
    </cfRule>
  </conditionalFormatting>
  <conditionalFormatting sqref="EO3">
    <cfRule type="expression" dxfId="73" priority="652" stopIfTrue="1">
      <formula>ISERROR(EO3)</formula>
    </cfRule>
  </conditionalFormatting>
  <conditionalFormatting sqref="FC6:FC25">
    <cfRule type="cellIs" dxfId="10" priority="4" stopIfTrue="1" operator="equal">
      <formula>" "</formula>
    </cfRule>
  </conditionalFormatting>
  <conditionalFormatting sqref="FM6:FM25">
    <cfRule type="cellIs" dxfId="8" priority="3" stopIfTrue="1" operator="equal">
      <formula>" "</formula>
    </cfRule>
  </conditionalFormatting>
  <conditionalFormatting sqref="FM6:FM25">
    <cfRule type="cellIs" dxfId="6" priority="717" stopIfTrue="1" operator="lessThan">
      <formula>0</formula>
    </cfRule>
  </conditionalFormatting>
  <conditionalFormatting sqref="FD6:FD25">
    <cfRule type="cellIs" dxfId="5" priority="2" stopIfTrue="1" operator="equal">
      <formula>" "</formula>
    </cfRule>
  </conditionalFormatting>
  <conditionalFormatting sqref="FG6:FG25">
    <cfRule type="cellIs" dxfId="3" priority="1" stopIfTrue="1" operator="equal">
      <formula>" "</formula>
    </cfRule>
  </conditionalFormatting>
  <conditionalFormatting sqref="FF3">
    <cfRule type="expression" dxfId="1" priority="720" stopIfTrue="1">
      <formula>ISERROR(FF3)</formula>
    </cfRule>
  </conditionalFormatting>
  <conditionalFormatting sqref="B1">
    <cfRule type="expression" dxfId="0" priority="721" stopIfTrue="1">
      <formula>ISERROR(B1)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stopIfTrue="1" id="{2575B61A-02A1-4CE9-A082-A04B2270F0ED}">
            <xm:f>(60 * HOUR(H5) + MINUTE(H5)) &gt;(60 * HOUR(INDEX('1.Locations'!G2:G21,C5 + 1)) +MINUTE(INDEX('1.Locations'!G2:G21,C5 + 1)))</xm:f>
            <x14:dxf>
              <fill>
                <patternFill>
                  <bgColor indexed="52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42" stopIfTrue="1" id="{E66852B1-58A8-4CD3-B7FB-81257A1E73D1}">
            <xm:f>(60 * HOUR(I5) + MINUTE(I5)) &gt;(60 * HOUR(INDEX('1.Locations'!G2:G21,C5 + 1)) +MINUTE(INDEX('1.Locations'!G2:G21,C5 + 1)))</xm:f>
            <x14:dxf>
              <fill>
                <patternFill>
                  <bgColor indexed="52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43" stopIfTrue="1" operator="lessThan" id="{340844F0-7966-45A6-86EC-DC913F51B4FE}">
            <xm:f>INDEX('1.Locations'!F2:F21,C6 + 1)</xm:f>
            <x14:dxf>
              <fill>
                <patternFill>
                  <bgColor indexed="52"/>
                </patternFill>
              </fill>
            </x14:dxf>
          </x14:cfRule>
          <x14:cfRule type="expression" priority="44" stopIfTrue="1" id="{D8DAAD5C-895A-4A7B-8444-3B2CC419B3CC}">
            <xm:f>(60 * HOUR(H6) + MINUTE(H6)) &gt;(60 * HOUR(INDEX('1.Locations'!G2:G21,C6 + 1)) +MINUTE(INDEX('1.Locations'!G2:G21,C6 + 1)))</xm:f>
            <x14:dxf>
              <fill>
                <patternFill>
                  <bgColor indexed="52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45" stopIfTrue="1" id="{D0DD3FD3-8D44-479C-AE9B-782E8ADF07B3}">
            <xm:f>(60 * HOUR(I6) + MINUTE(I6)) &gt;(60 * HOUR(INDEX('1.Locations'!G2:G21,C6 + 1)) +MINUTE(INDEX('1.Locations'!G2:G21,C6 + 1)))</xm:f>
            <x14:dxf>
              <fill>
                <patternFill>
                  <bgColor indexed="52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cellIs" priority="46" stopIfTrue="1" operator="lessThan" id="{1986B1BB-5CA3-47D0-BF76-28BAFB3BF41A}">
            <xm:f>INDEX('1.Locations'!F2:F21,C7 + 1)</xm:f>
            <x14:dxf>
              <fill>
                <patternFill>
                  <bgColor indexed="52"/>
                </patternFill>
              </fill>
            </x14:dxf>
          </x14:cfRule>
          <x14:cfRule type="expression" priority="47" stopIfTrue="1" id="{1B82B5EF-4935-40AB-996E-094237AEC902}">
            <xm:f>(60 * HOUR(H7) + MINUTE(H7)) &gt;(60 * HOUR(INDEX('1.Locations'!G2:G21,C7 + 1)) +MINUTE(INDEX('1.Locations'!G2:G21,C7 + 1)))</xm:f>
            <x14:dxf>
              <fill>
                <patternFill>
                  <bgColor indexed="52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48" stopIfTrue="1" id="{19FF51B1-8FF8-4E11-BC7C-BB3F5ECC8F26}">
            <xm:f>(60 * HOUR(I7) + MINUTE(I7)) &gt;(60 * HOUR(INDEX('1.Locations'!G2:G21,C7 + 1)) +MINUTE(INDEX('1.Locations'!G2:G21,C7 + 1)))</xm:f>
            <x14:dxf>
              <fill>
                <patternFill>
                  <bgColor indexed="52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cellIs" priority="49" stopIfTrue="1" operator="lessThan" id="{92095F18-E27D-4859-81C7-3D18FD44824F}">
            <xm:f>INDEX('1.Locations'!F2:F21,C8 + 1)</xm:f>
            <x14:dxf>
              <fill>
                <patternFill>
                  <bgColor indexed="52"/>
                </patternFill>
              </fill>
            </x14:dxf>
          </x14:cfRule>
          <x14:cfRule type="expression" priority="50" stopIfTrue="1" id="{2F6D004C-0311-448C-B9E4-3B60FCD474A0}">
            <xm:f>(60 * HOUR(H8) + MINUTE(H8)) &gt;(60 * HOUR(INDEX('1.Locations'!G2:G21,C8 + 1)) +MINUTE(INDEX('1.Locations'!G2:G21,C8 + 1)))</xm:f>
            <x14:dxf>
              <fill>
                <patternFill>
                  <bgColor indexed="52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51" stopIfTrue="1" id="{22ABFAD7-AB20-4787-9DCB-C92A226F99C1}">
            <xm:f>(60 * HOUR(I8) + MINUTE(I8)) &gt;(60 * HOUR(INDEX('1.Locations'!G2:G21,C8 + 1)) +MINUTE(INDEX('1.Locations'!G2:G21,C8 + 1)))</xm:f>
            <x14:dxf>
              <fill>
                <patternFill>
                  <bgColor indexed="52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cellIs" priority="52" stopIfTrue="1" operator="lessThan" id="{866C7176-3F5C-4314-805E-E10087D75048}">
            <xm:f>INDEX('1.Locations'!F2:F21,C9 + 1)</xm:f>
            <x14:dxf>
              <fill>
                <patternFill>
                  <bgColor indexed="52"/>
                </patternFill>
              </fill>
            </x14:dxf>
          </x14:cfRule>
          <x14:cfRule type="expression" priority="53" stopIfTrue="1" id="{994EEB24-ADB8-4754-A4B7-1189871AA57D}">
            <xm:f>(60 * HOUR(H9) + MINUTE(H9)) &gt;(60 * HOUR(INDEX('1.Locations'!G2:G21,C9 + 1)) +MINUTE(INDEX('1.Locations'!G2:G21,C9 + 1)))</xm:f>
            <x14:dxf>
              <fill>
                <patternFill>
                  <bgColor indexed="52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54" stopIfTrue="1" id="{A1B3386C-7A29-4D99-A054-2A3308BA355E}">
            <xm:f>(60 * HOUR(I9) + MINUTE(I9)) &gt;(60 * HOUR(INDEX('1.Locations'!G2:G21,C9 + 1)) +MINUTE(INDEX('1.Locations'!G2:G21,C9 + 1)))</xm:f>
            <x14:dxf>
              <fill>
                <patternFill>
                  <bgColor indexed="52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cellIs" priority="55" stopIfTrue="1" operator="lessThan" id="{C5868604-AF81-4136-BB9C-7ED074C156B3}">
            <xm:f>INDEX('1.Locations'!F2:F21,C10 + 1)</xm:f>
            <x14:dxf>
              <fill>
                <patternFill>
                  <bgColor indexed="52"/>
                </patternFill>
              </fill>
            </x14:dxf>
          </x14:cfRule>
          <x14:cfRule type="expression" priority="56" stopIfTrue="1" id="{B000D6C3-1986-4B4C-9152-91C0041268EC}">
            <xm:f>(60 * HOUR(H10) + MINUTE(H10)) &gt;(60 * HOUR(INDEX('1.Locations'!G2:G21,C10 + 1)) +MINUTE(INDEX('1.Locations'!G2:G21,C10 + 1)))</xm:f>
            <x14:dxf>
              <fill>
                <patternFill>
                  <bgColor indexed="52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57" stopIfTrue="1" id="{513E3E1A-58A7-4560-A56C-EBA067A7659A}">
            <xm:f>(60 * HOUR(I10) + MINUTE(I10)) &gt;(60 * HOUR(INDEX('1.Locations'!G2:G21,C10 + 1)) +MINUTE(INDEX('1.Locations'!G2:G21,C10 + 1)))</xm:f>
            <x14:dxf>
              <fill>
                <patternFill>
                  <bgColor indexed="5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cellIs" priority="58" stopIfTrue="1" operator="lessThan" id="{73CFEB2A-9AF3-46FC-9E48-E9D546F19D9D}">
            <xm:f>INDEX('1.Locations'!F2:F21,C11 + 1)</xm:f>
            <x14:dxf>
              <fill>
                <patternFill>
                  <bgColor indexed="52"/>
                </patternFill>
              </fill>
            </x14:dxf>
          </x14:cfRule>
          <x14:cfRule type="expression" priority="59" stopIfTrue="1" id="{51A79A1A-C90C-4104-8ED3-476474CFE63E}">
            <xm:f>(60 * HOUR(H11) + MINUTE(H11)) &gt;(60 * HOUR(INDEX('1.Locations'!G2:G21,C11 + 1)) +MINUTE(INDEX('1.Locations'!G2:G21,C11 + 1)))</xm:f>
            <x14:dxf>
              <fill>
                <patternFill>
                  <bgColor indexed="52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60" stopIfTrue="1" id="{D775615E-7EDA-4961-B19B-F618054722EF}">
            <xm:f>(60 * HOUR(I11) + MINUTE(I11)) &gt;(60 * HOUR(INDEX('1.Locations'!G2:G21,C11 + 1)) +MINUTE(INDEX('1.Locations'!G2:G21,C11 + 1)))</xm:f>
            <x14:dxf>
              <fill>
                <patternFill>
                  <bgColor indexed="52"/>
                </patternFill>
              </fill>
            </x14:dxf>
          </x14:cfRule>
          <xm:sqref>I11</xm:sqref>
        </x14:conditionalFormatting>
        <x14:conditionalFormatting xmlns:xm="http://schemas.microsoft.com/office/excel/2006/main">
          <x14:cfRule type="cellIs" priority="61" stopIfTrue="1" operator="lessThan" id="{849819A4-2D04-4F85-92CD-A8176BC3ECB1}">
            <xm:f>INDEX('1.Locations'!F2:F21,C12 + 1)</xm:f>
            <x14:dxf>
              <fill>
                <patternFill>
                  <bgColor indexed="52"/>
                </patternFill>
              </fill>
            </x14:dxf>
          </x14:cfRule>
          <x14:cfRule type="expression" priority="62" stopIfTrue="1" id="{B8E316F2-9B2B-4F58-B0B4-4D242F581894}">
            <xm:f>(60 * HOUR(H12) + MINUTE(H12)) &gt;(60 * HOUR(INDEX('1.Locations'!G2:G21,C12 + 1)) +MINUTE(INDEX('1.Locations'!G2:G21,C12 + 1)))</xm:f>
            <x14:dxf>
              <fill>
                <patternFill>
                  <bgColor indexed="5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63" stopIfTrue="1" id="{16E3B6D2-562E-434D-A127-4F6F7E0B291F}">
            <xm:f>(60 * HOUR(I12) + MINUTE(I12)) &gt;(60 * HOUR(INDEX('1.Locations'!G2:G21,C12 + 1)) +MINUTE(INDEX('1.Locations'!G2:G21,C12 + 1)))</xm:f>
            <x14:dxf>
              <fill>
                <patternFill>
                  <bgColor indexed="5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cellIs" priority="64" stopIfTrue="1" operator="lessThan" id="{1A7D0128-D393-41E1-BD45-6512B0FADC3D}">
            <xm:f>INDEX('1.Locations'!F2:F21,C13 + 1)</xm:f>
            <x14:dxf>
              <fill>
                <patternFill>
                  <bgColor indexed="52"/>
                </patternFill>
              </fill>
            </x14:dxf>
          </x14:cfRule>
          <x14:cfRule type="expression" priority="65" stopIfTrue="1" id="{CCE4FC77-3201-49B4-A17B-E2F9E0F4ECC5}">
            <xm:f>(60 * HOUR(H13) + MINUTE(H13)) &gt;(60 * HOUR(INDEX('1.Locations'!G2:G21,C13 + 1)) +MINUTE(INDEX('1.Locations'!G2:G21,C13 + 1)))</xm:f>
            <x14:dxf>
              <fill>
                <patternFill>
                  <bgColor indexed="52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66" stopIfTrue="1" id="{D13D328D-0464-4FA4-A4C7-AB75E2B78570}">
            <xm:f>(60 * HOUR(I13) + MINUTE(I13)) &gt;(60 * HOUR(INDEX('1.Locations'!G2:G21,C13 + 1)) +MINUTE(INDEX('1.Locations'!G2:G21,C13 + 1)))</xm:f>
            <x14:dxf>
              <fill>
                <patternFill>
                  <bgColor indexed="52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cellIs" priority="67" stopIfTrue="1" operator="lessThan" id="{152877C6-A8E5-4CD8-8FDA-771FC913748D}">
            <xm:f>INDEX('1.Locations'!F2:F21,C14 + 1)</xm:f>
            <x14:dxf>
              <fill>
                <patternFill>
                  <bgColor indexed="52"/>
                </patternFill>
              </fill>
            </x14:dxf>
          </x14:cfRule>
          <x14:cfRule type="expression" priority="68" stopIfTrue="1" id="{CA9988CB-52C7-4F14-B765-A26CE1EBDD53}">
            <xm:f>(60 * HOUR(H14) + MINUTE(H14)) &gt;(60 * HOUR(INDEX('1.Locations'!G2:G21,C14 + 1)) +MINUTE(INDEX('1.Locations'!G2:G21,C14 + 1)))</xm:f>
            <x14:dxf>
              <fill>
                <patternFill>
                  <bgColor indexed="52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69" stopIfTrue="1" id="{F7216940-8774-4D38-AF5F-CCBDA68260A4}">
            <xm:f>(60 * HOUR(I14) + MINUTE(I14)) &gt;(60 * HOUR(INDEX('1.Locations'!G2:G21,C14 + 1)) +MINUTE(INDEX('1.Locations'!G2:G21,C14 + 1)))</xm:f>
            <x14:dxf>
              <fill>
                <patternFill>
                  <bgColor indexed="5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ellIs" priority="70" stopIfTrue="1" operator="lessThan" id="{F0C79C5B-60BD-4770-8EFD-E1DA38529A68}">
            <xm:f>INDEX('1.Locations'!F2:F21,C15 + 1)</xm:f>
            <x14:dxf>
              <fill>
                <patternFill>
                  <bgColor indexed="52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71" stopIfTrue="1" id="{5EBDC65D-1E0B-4CB9-A39A-20A246E4DC36}">
            <xm:f>(60 * HOUR(H15) + MINUTE(H15)) &gt;(60 * HOUR(INDEX('1.Locations'!G2:G21,C15 + 1)) +MINUTE(INDEX('1.Locations'!G2:G21,C15 + 1)))</xm:f>
            <x14:dxf>
              <fill>
                <patternFill>
                  <bgColor indexed="52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72" stopIfTrue="1" id="{4919432C-42AB-4271-9121-E194BFE6E6B5}">
            <xm:f>(60 * HOUR(I15) + MINUTE(I15)) &gt;(60 * HOUR(INDEX('1.Locations'!G2:G21,C15 + 1)) +MINUTE(INDEX('1.Locations'!G2:G21,C15 + 1)))</xm:f>
            <x14:dxf>
              <fill>
                <patternFill>
                  <bgColor indexed="52"/>
                </patternFill>
              </fill>
            </x14:dxf>
          </x14:cfRule>
          <xm:sqref>I15</xm:sqref>
        </x14:conditionalFormatting>
        <x14:conditionalFormatting xmlns:xm="http://schemas.microsoft.com/office/excel/2006/main">
          <x14:cfRule type="cellIs" priority="73" stopIfTrue="1" operator="lessThan" id="{DAED9643-61A8-44AF-AE68-DC4D00D97BBE}">
            <xm:f>INDEX('1.Locations'!F2:F21,C16 + 1)</xm:f>
            <x14:dxf>
              <fill>
                <patternFill>
                  <bgColor indexed="52"/>
                </patternFill>
              </fill>
            </x14:dxf>
          </x14:cfRule>
          <xm:sqref>H16</xm:sqref>
        </x14:conditionalFormatting>
        <x14:conditionalFormatting xmlns:xm="http://schemas.microsoft.com/office/excel/2006/main">
          <x14:cfRule type="expression" priority="74" stopIfTrue="1" id="{4E4780AD-B545-4FFF-AF70-DADD7DC55D63}">
            <xm:f>(60 * HOUR(H16) + MINUTE(H16)) &gt;(60 * HOUR(INDEX('1.Locations'!G2:G21,C16 + 1)) +MINUTE(INDEX('1.Locations'!G2:G21,C16 + 1)))</xm:f>
            <x14:dxf>
              <fill>
                <patternFill>
                  <bgColor indexed="52"/>
                </patternFill>
              </fill>
            </x14:dxf>
          </x14:cfRule>
          <xm:sqref>H16</xm:sqref>
        </x14:conditionalFormatting>
        <x14:conditionalFormatting xmlns:xm="http://schemas.microsoft.com/office/excel/2006/main">
          <x14:cfRule type="expression" priority="75" stopIfTrue="1" id="{296A1332-1547-4FAD-A5DB-BB91EB35C778}">
            <xm:f>(60 * HOUR(I16) + MINUTE(I16)) &gt;(60 * HOUR(INDEX('1.Locations'!G2:G21,C16 + 1)) +MINUTE(INDEX('1.Locations'!G2:G21,C16 + 1)))</xm:f>
            <x14:dxf>
              <fill>
                <patternFill>
                  <bgColor indexed="52"/>
                </patternFill>
              </fill>
            </x14:dxf>
          </x14:cfRule>
          <xm:sqref>I16</xm:sqref>
        </x14:conditionalFormatting>
        <x14:conditionalFormatting xmlns:xm="http://schemas.microsoft.com/office/excel/2006/main">
          <x14:cfRule type="cellIs" priority="76" stopIfTrue="1" operator="lessThan" id="{00EF2C54-F6D5-4C51-8012-A14424FD1A0A}">
            <xm:f>INDEX('1.Locations'!F2:F21,C17 + 1)</xm:f>
            <x14:dxf>
              <fill>
                <patternFill>
                  <bgColor indexed="52"/>
                </patternFill>
              </fill>
            </x14:dxf>
          </x14:cfRule>
          <xm:sqref>H17</xm:sqref>
        </x14:conditionalFormatting>
        <x14:conditionalFormatting xmlns:xm="http://schemas.microsoft.com/office/excel/2006/main">
          <x14:cfRule type="expression" priority="77" stopIfTrue="1" id="{A791C403-4F57-464D-A0EA-9E14E93239C9}">
            <xm:f>(60 * HOUR(H17) + MINUTE(H17)) &gt;(60 * HOUR(INDEX('1.Locations'!G2:G21,C17 + 1)) +MINUTE(INDEX('1.Locations'!G2:G21,C17 + 1)))</xm:f>
            <x14:dxf>
              <fill>
                <patternFill>
                  <bgColor indexed="52"/>
                </patternFill>
              </fill>
            </x14:dxf>
          </x14:cfRule>
          <xm:sqref>H17</xm:sqref>
        </x14:conditionalFormatting>
        <x14:conditionalFormatting xmlns:xm="http://schemas.microsoft.com/office/excel/2006/main">
          <x14:cfRule type="expression" priority="78" stopIfTrue="1" id="{EF4B9213-813A-43B6-A16B-BACFF5C386CD}">
            <xm:f>(60 * HOUR(I17) + MINUTE(I17)) &gt;(60 * HOUR(INDEX('1.Locations'!G2:G21,C17 + 1)) +MINUTE(INDEX('1.Locations'!G2:G21,C17 + 1)))</xm:f>
            <x14:dxf>
              <fill>
                <patternFill>
                  <bgColor indexed="5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cellIs" priority="79" stopIfTrue="1" operator="lessThan" id="{0253C167-EFF5-4626-9FE3-D665C1329D09}">
            <xm:f>INDEX('1.Locations'!F2:F21,C18 + 1)</xm:f>
            <x14:dxf>
              <fill>
                <patternFill>
                  <bgColor indexed="52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80" stopIfTrue="1" id="{06D2B7EC-B557-4A58-A6D2-CDBCE12A874B}">
            <xm:f>(60 * HOUR(H18) + MINUTE(H18)) &gt;(60 * HOUR(INDEX('1.Locations'!G2:G21,C18 + 1)) +MINUTE(INDEX('1.Locations'!G2:G21,C18 + 1)))</xm:f>
            <x14:dxf>
              <fill>
                <patternFill>
                  <bgColor indexed="52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81" stopIfTrue="1" id="{4DF7D390-83E9-494C-8442-9A38E4F95F5E}">
            <xm:f>(60 * HOUR(I18) + MINUTE(I18)) &gt;(60 * HOUR(INDEX('1.Locations'!G2:G21,C18 + 1)) +MINUTE(INDEX('1.Locations'!G2:G21,C18 + 1)))</xm:f>
            <x14:dxf>
              <fill>
                <patternFill>
                  <bgColor indexed="52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cellIs" priority="82" stopIfTrue="1" operator="lessThan" id="{B5EF4B7A-1CBC-40AD-B2A9-930F8A27DE1C}">
            <xm:f>INDEX('1.Locations'!F2:F21,C19 + 1)</xm:f>
            <x14:dxf>
              <fill>
                <patternFill>
                  <bgColor indexed="52"/>
                </patternFill>
              </fill>
            </x14:dxf>
          </x14:cfRule>
          <xm:sqref>H19</xm:sqref>
        </x14:conditionalFormatting>
        <x14:conditionalFormatting xmlns:xm="http://schemas.microsoft.com/office/excel/2006/main">
          <x14:cfRule type="expression" priority="83" stopIfTrue="1" id="{29A28354-0E52-42F2-A9C9-79FF410CE6D9}">
            <xm:f>(60 * HOUR(H19) + MINUTE(H19)) &gt;(60 * HOUR(INDEX('1.Locations'!G2:G21,C19 + 1)) +MINUTE(INDEX('1.Locations'!G2:G21,C19 + 1)))</xm:f>
            <x14:dxf>
              <fill>
                <patternFill>
                  <bgColor indexed="52"/>
                </patternFill>
              </fill>
            </x14:dxf>
          </x14:cfRule>
          <xm:sqref>H19</xm:sqref>
        </x14:conditionalFormatting>
        <x14:conditionalFormatting xmlns:xm="http://schemas.microsoft.com/office/excel/2006/main">
          <x14:cfRule type="expression" priority="84" stopIfTrue="1" id="{0D961DB6-FC94-4BE3-A9CE-683AE1134755}">
            <xm:f>(60 * HOUR(I19) + MINUTE(I19)) &gt;(60 * HOUR(INDEX('1.Locations'!G2:G21,C19 + 1)) +MINUTE(INDEX('1.Locations'!G2:G21,C19 + 1)))</xm:f>
            <x14:dxf>
              <fill>
                <patternFill>
                  <bgColor indexed="52"/>
                </patternFill>
              </fill>
            </x14:dxf>
          </x14:cfRule>
          <xm:sqref>I19</xm:sqref>
        </x14:conditionalFormatting>
        <x14:conditionalFormatting xmlns:xm="http://schemas.microsoft.com/office/excel/2006/main">
          <x14:cfRule type="cellIs" priority="85" stopIfTrue="1" operator="lessThan" id="{F6E0E799-1886-465D-B7B9-8A979F74480E}">
            <xm:f>INDEX('1.Locations'!F2:F21,C20 + 1)</xm:f>
            <x14:dxf>
              <fill>
                <patternFill>
                  <bgColor indexed="52"/>
                </patternFill>
              </fill>
            </x14:dxf>
          </x14:cfRule>
          <xm:sqref>H20</xm:sqref>
        </x14:conditionalFormatting>
        <x14:conditionalFormatting xmlns:xm="http://schemas.microsoft.com/office/excel/2006/main">
          <x14:cfRule type="expression" priority="86" stopIfTrue="1" id="{7B4D0B0F-ED94-42E7-9F6D-7BE264A14D6C}">
            <xm:f>(60 * HOUR(H20) + MINUTE(H20)) &gt;(60 * HOUR(INDEX('1.Locations'!G2:G21,C20 + 1)) +MINUTE(INDEX('1.Locations'!G2:G21,C20 + 1)))</xm:f>
            <x14:dxf>
              <fill>
                <patternFill>
                  <bgColor indexed="52"/>
                </patternFill>
              </fill>
            </x14:dxf>
          </x14:cfRule>
          <xm:sqref>H20</xm:sqref>
        </x14:conditionalFormatting>
        <x14:conditionalFormatting xmlns:xm="http://schemas.microsoft.com/office/excel/2006/main">
          <x14:cfRule type="expression" priority="87" stopIfTrue="1" id="{9161EA8C-ED67-4118-B945-FA131D30376D}">
            <xm:f>(60 * HOUR(I20) + MINUTE(I20)) &gt;(60 * HOUR(INDEX('1.Locations'!G2:G21,C20 + 1)) +MINUTE(INDEX('1.Locations'!G2:G21,C20 + 1)))</xm:f>
            <x14:dxf>
              <fill>
                <patternFill>
                  <bgColor indexed="52"/>
                </patternFill>
              </fill>
            </x14:dxf>
          </x14:cfRule>
          <xm:sqref>I20</xm:sqref>
        </x14:conditionalFormatting>
        <x14:conditionalFormatting xmlns:xm="http://schemas.microsoft.com/office/excel/2006/main">
          <x14:cfRule type="cellIs" priority="88" stopIfTrue="1" operator="lessThan" id="{5E782404-5B36-4C20-9961-4F9FF99FAD83}">
            <xm:f>INDEX('1.Locations'!F2:F21,C21 + 1)</xm:f>
            <x14:dxf>
              <fill>
                <patternFill>
                  <bgColor indexed="52"/>
                </patternFill>
              </fill>
            </x14:dxf>
          </x14:cfRule>
          <xm:sqref>H21</xm:sqref>
        </x14:conditionalFormatting>
        <x14:conditionalFormatting xmlns:xm="http://schemas.microsoft.com/office/excel/2006/main">
          <x14:cfRule type="expression" priority="89" stopIfTrue="1" id="{11E9A44E-B34A-4B2E-AA44-D9D785303188}">
            <xm:f>(60 * HOUR(H21) + MINUTE(H21)) &gt;(60 * HOUR(INDEX('1.Locations'!G2:G21,C21 + 1)) +MINUTE(INDEX('1.Locations'!G2:G21,C21 + 1)))</xm:f>
            <x14:dxf>
              <fill>
                <patternFill>
                  <bgColor indexed="52"/>
                </patternFill>
              </fill>
            </x14:dxf>
          </x14:cfRule>
          <xm:sqref>H21</xm:sqref>
        </x14:conditionalFormatting>
        <x14:conditionalFormatting xmlns:xm="http://schemas.microsoft.com/office/excel/2006/main">
          <x14:cfRule type="expression" priority="90" stopIfTrue="1" id="{3342E5F7-9398-4DF8-BB25-183D917EF56A}">
            <xm:f>(60 * HOUR(I21) + MINUTE(I21)) &gt;(60 * HOUR(INDEX('1.Locations'!G2:G21,C21 + 1)) +MINUTE(INDEX('1.Locations'!G2:G21,C21 + 1)))</xm:f>
            <x14:dxf>
              <fill>
                <patternFill>
                  <bgColor indexed="52"/>
                </patternFill>
              </fill>
            </x14:dxf>
          </x14:cfRule>
          <xm:sqref>I21</xm:sqref>
        </x14:conditionalFormatting>
        <x14:conditionalFormatting xmlns:xm="http://schemas.microsoft.com/office/excel/2006/main">
          <x14:cfRule type="cellIs" priority="91" stopIfTrue="1" operator="lessThan" id="{B467D12E-106B-4B8D-A7A0-2FA7E4EF02FE}">
            <xm:f>INDEX('1.Locations'!F2:F21,C22 + 1)</xm:f>
            <x14:dxf>
              <fill>
                <patternFill>
                  <bgColor indexed="52"/>
                </patternFill>
              </fill>
            </x14:dxf>
          </x14:cfRule>
          <xm:sqref>H22</xm:sqref>
        </x14:conditionalFormatting>
        <x14:conditionalFormatting xmlns:xm="http://schemas.microsoft.com/office/excel/2006/main">
          <x14:cfRule type="expression" priority="92" stopIfTrue="1" id="{B3AC5B54-5A7A-4630-8EFE-5D72364AF33E}">
            <xm:f>(60 * HOUR(H22) + MINUTE(H22)) &gt;(60 * HOUR(INDEX('1.Locations'!G2:G21,C22 + 1)) +MINUTE(INDEX('1.Locations'!G2:G21,C22 + 1)))</xm:f>
            <x14:dxf>
              <fill>
                <patternFill>
                  <bgColor indexed="52"/>
                </patternFill>
              </fill>
            </x14:dxf>
          </x14:cfRule>
          <xm:sqref>H22</xm:sqref>
        </x14:conditionalFormatting>
        <x14:conditionalFormatting xmlns:xm="http://schemas.microsoft.com/office/excel/2006/main">
          <x14:cfRule type="expression" priority="93" stopIfTrue="1" id="{CB198E85-BA6E-4194-A5BA-F6563500BCB4}">
            <xm:f>(60 * HOUR(I22) + MINUTE(I22)) &gt;(60 * HOUR(INDEX('1.Locations'!G2:G21,C22 + 1)) +MINUTE(INDEX('1.Locations'!G2:G21,C22 + 1)))</xm:f>
            <x14:dxf>
              <fill>
                <patternFill>
                  <bgColor indexed="52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cellIs" priority="94" stopIfTrue="1" operator="lessThan" id="{72583EED-09EF-486D-AE7E-40D2C27E3F57}">
            <xm:f>INDEX('1.Locations'!F2:F21,C23 + 1)</xm:f>
            <x14:dxf>
              <fill>
                <patternFill>
                  <bgColor indexed="52"/>
                </patternFill>
              </fill>
            </x14:dxf>
          </x14:cfRule>
          <xm:sqref>H23</xm:sqref>
        </x14:conditionalFormatting>
        <x14:conditionalFormatting xmlns:xm="http://schemas.microsoft.com/office/excel/2006/main">
          <x14:cfRule type="expression" priority="95" stopIfTrue="1" id="{70A67D04-EEB7-4D86-86A2-5F698FB71EA6}">
            <xm:f>(60 * HOUR(H23) + MINUTE(H23)) &gt;(60 * HOUR(INDEX('1.Locations'!G2:G21,C23 + 1)) +MINUTE(INDEX('1.Locations'!G2:G21,C23 + 1)))</xm:f>
            <x14:dxf>
              <fill>
                <patternFill>
                  <bgColor indexed="52"/>
                </patternFill>
              </fill>
            </x14:dxf>
          </x14:cfRule>
          <xm:sqref>H23</xm:sqref>
        </x14:conditionalFormatting>
        <x14:conditionalFormatting xmlns:xm="http://schemas.microsoft.com/office/excel/2006/main">
          <x14:cfRule type="expression" priority="96" stopIfTrue="1" id="{0A5B41C7-482A-409E-B3C9-56A164546EE1}">
            <xm:f>(60 * HOUR(I23) + MINUTE(I23)) &gt;(60 * HOUR(INDEX('1.Locations'!G2:G21,C23 + 1)) +MINUTE(INDEX('1.Locations'!G2:G21,C23 + 1)))</xm:f>
            <x14:dxf>
              <fill>
                <patternFill>
                  <bgColor indexed="52"/>
                </patternFill>
              </fill>
            </x14:dxf>
          </x14:cfRule>
          <xm:sqref>I23</xm:sqref>
        </x14:conditionalFormatting>
        <x14:conditionalFormatting xmlns:xm="http://schemas.microsoft.com/office/excel/2006/main">
          <x14:cfRule type="cellIs" priority="97" stopIfTrue="1" operator="lessThan" id="{E95D5242-1CAB-48AC-8752-5830043E32B0}">
            <xm:f>INDEX('1.Locations'!F2:F21,C24 + 1)</xm:f>
            <x14:dxf>
              <fill>
                <patternFill>
                  <bgColor indexed="5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expression" priority="98" stopIfTrue="1" id="{D4002ACC-8342-4ECC-AADC-E10406CE1F1A}">
            <xm:f>(60 * HOUR(H24) + MINUTE(H24)) &gt;(60 * HOUR(INDEX('1.Locations'!G2:G21,C24 + 1)) +MINUTE(INDEX('1.Locations'!G2:G21,C24 + 1)))</xm:f>
            <x14:dxf>
              <fill>
                <patternFill>
                  <bgColor indexed="5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expression" priority="99" stopIfTrue="1" id="{B283A074-B9B2-4BC3-88AA-49F0A5601063}">
            <xm:f>(60 * HOUR(I24) + MINUTE(I24)) &gt;(60 * HOUR(INDEX('1.Locations'!G2:G21,C24 + 1)) +MINUTE(INDEX('1.Locations'!G2:G21,C24 + 1)))</xm:f>
            <x14:dxf>
              <fill>
                <patternFill>
                  <bgColor indexed="52"/>
                </patternFill>
              </fill>
            </x14:dxf>
          </x14:cfRule>
          <xm:sqref>I24</xm:sqref>
        </x14:conditionalFormatting>
        <x14:conditionalFormatting xmlns:xm="http://schemas.microsoft.com/office/excel/2006/main">
          <x14:cfRule type="cellIs" priority="100" stopIfTrue="1" operator="lessThan" id="{CA2DBD8C-95ED-41D9-81ED-5C025A31AC08}">
            <xm:f>INDEX('1.Locations'!F2:F21,C25 + 1)</xm:f>
            <x14:dxf>
              <fill>
                <patternFill>
                  <bgColor indexed="52"/>
                </patternFill>
              </fill>
            </x14:dxf>
          </x14:cfRule>
          <xm:sqref>H25</xm:sqref>
        </x14:conditionalFormatting>
        <x14:conditionalFormatting xmlns:xm="http://schemas.microsoft.com/office/excel/2006/main">
          <x14:cfRule type="expression" priority="101" stopIfTrue="1" id="{F9DE58C9-03B1-4497-BDA8-D72D6FD82ABF}">
            <xm:f>(60 * HOUR(H25) + MINUTE(H25)) &gt;(60 * HOUR(INDEX('1.Locations'!G2:G21,C25 + 1)) +MINUTE(INDEX('1.Locations'!G2:G21,C25 + 1)))</xm:f>
            <x14:dxf>
              <fill>
                <patternFill>
                  <bgColor indexed="52"/>
                </patternFill>
              </fill>
            </x14:dxf>
          </x14:cfRule>
          <xm:sqref>H25</xm:sqref>
        </x14:conditionalFormatting>
        <x14:conditionalFormatting xmlns:xm="http://schemas.microsoft.com/office/excel/2006/main">
          <x14:cfRule type="expression" priority="102" stopIfTrue="1" id="{EBC04910-839E-4E84-8871-983B3580197E}">
            <xm:f>(60 * HOUR(I25) + MINUTE(I25)) &gt;(60 * HOUR(INDEX('1.Locations'!G2:G21,C25 + 1)) +MINUTE(INDEX('1.Locations'!G2:G21,C25 + 1)))</xm:f>
            <x14:dxf>
              <fill>
                <patternFill>
                  <bgColor indexed="52"/>
                </patternFill>
              </fill>
            </x14:dxf>
          </x14:cfRule>
          <xm:sqref>I25</xm:sqref>
        </x14:conditionalFormatting>
        <x14:conditionalFormatting xmlns:xm="http://schemas.microsoft.com/office/excel/2006/main">
          <x14:cfRule type="cellIs" priority="103" stopIfTrue="1" operator="greaterThan" id="{37D577FF-F6AB-40AB-865A-7F653525731B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F6:F25</xm:sqref>
        </x14:conditionalFormatting>
        <x14:conditionalFormatting xmlns:xm="http://schemas.microsoft.com/office/excel/2006/main">
          <x14:cfRule type="cellIs" priority="104" stopIfTrue="1" operator="greaterThan" id="{43603185-DAF7-41A6-9757-E76DD271544A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P6:P25</xm:sqref>
        </x14:conditionalFormatting>
        <x14:conditionalFormatting xmlns:xm="http://schemas.microsoft.com/office/excel/2006/main">
          <x14:cfRule type="cellIs" priority="106" stopIfTrue="1" operator="greaterThan" id="{29FCE6F8-CE43-49D4-80D3-1CD8EF5F6F6D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G6:G25</xm:sqref>
        </x14:conditionalFormatting>
        <x14:conditionalFormatting xmlns:xm="http://schemas.microsoft.com/office/excel/2006/main">
          <x14:cfRule type="cellIs" priority="107" stopIfTrue="1" operator="greaterThan" id="{2BCE45FF-BC59-4059-B397-BCA849E298F6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J6:J25</xm:sqref>
        </x14:conditionalFormatting>
        <x14:conditionalFormatting xmlns:xm="http://schemas.microsoft.com/office/excel/2006/main">
          <x14:cfRule type="expression" priority="109" stopIfTrue="1" id="{1081C572-837C-453D-9024-CF9CAABC69BF}">
            <xm:f>(60 * HOUR(Y5) + MINUTE(Y5)) &gt;(60 * HOUR(INDEX('1.Locations'!G2:G21,T5 + 1)) +MINUTE(INDEX('1.Locations'!G2:G21,T5 + 1)))</xm:f>
            <x14:dxf>
              <fill>
                <patternFill>
                  <bgColor indexed="52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110" stopIfTrue="1" id="{234E5259-AE07-4A99-A6AF-A628CF4B8517}">
            <xm:f>(60 * HOUR(Z5) + MINUTE(Z5)) &gt;(60 * HOUR(INDEX('1.Locations'!G2:G21,T5 + 1)) +MINUTE(INDEX('1.Locations'!G2:G21,T5 + 1)))</xm:f>
            <x14:dxf>
              <fill>
                <patternFill>
                  <bgColor indexed="52"/>
                </patternFill>
              </fill>
            </x14:dxf>
          </x14:cfRule>
          <xm:sqref>Z5</xm:sqref>
        </x14:conditionalFormatting>
        <x14:conditionalFormatting xmlns:xm="http://schemas.microsoft.com/office/excel/2006/main">
          <x14:cfRule type="cellIs" priority="111" stopIfTrue="1" operator="lessThan" id="{A4ADEF17-595E-4A6E-B8FC-AAE653E7DFF2}">
            <xm:f>INDEX('1.Locations'!F2:F21,T6 + 1)</xm:f>
            <x14:dxf>
              <fill>
                <patternFill>
                  <bgColor indexed="52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112" stopIfTrue="1" id="{E6B1C994-6656-4A90-A9DB-FA63062D1D03}">
            <xm:f>(60 * HOUR(Y6) + MINUTE(Y6)) &gt;(60 * HOUR(INDEX('1.Locations'!G2:G21,T6 + 1)) +MINUTE(INDEX('1.Locations'!G2:G21,T6 + 1)))</xm:f>
            <x14:dxf>
              <fill>
                <patternFill>
                  <bgColor indexed="52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113" stopIfTrue="1" id="{B528D3D3-B829-4A8B-9444-2CF3F529E54C}">
            <xm:f>(60 * HOUR(Z6) + MINUTE(Z6)) &gt;(60 * HOUR(INDEX('1.Locations'!G2:G21,T6 + 1)) +MINUTE(INDEX('1.Locations'!G2:G21,T6 + 1)))</xm:f>
            <x14:dxf>
              <fill>
                <patternFill>
                  <bgColor indexed="52"/>
                </patternFill>
              </fill>
            </x14:dxf>
          </x14:cfRule>
          <xm:sqref>Z6</xm:sqref>
        </x14:conditionalFormatting>
        <x14:conditionalFormatting xmlns:xm="http://schemas.microsoft.com/office/excel/2006/main">
          <x14:cfRule type="cellIs" priority="114" stopIfTrue="1" operator="lessThan" id="{85B8B231-9203-4F08-8925-5EF7432D0B08}">
            <xm:f>INDEX('1.Locations'!F2:F21,T7 + 1)</xm:f>
            <x14:dxf>
              <fill>
                <patternFill>
                  <bgColor indexed="52"/>
                </patternFill>
              </fill>
            </x14:dxf>
          </x14:cfRule>
          <xm:sqref>Y7</xm:sqref>
        </x14:conditionalFormatting>
        <x14:conditionalFormatting xmlns:xm="http://schemas.microsoft.com/office/excel/2006/main">
          <x14:cfRule type="expression" priority="115" stopIfTrue="1" id="{77759D00-1932-4FBE-938F-B6009077E68B}">
            <xm:f>(60 * HOUR(Y7) + MINUTE(Y7)) &gt;(60 * HOUR(INDEX('1.Locations'!G2:G21,T7 + 1)) +MINUTE(INDEX('1.Locations'!G2:G21,T7 + 1)))</xm:f>
            <x14:dxf>
              <fill>
                <patternFill>
                  <bgColor indexed="52"/>
                </patternFill>
              </fill>
            </x14:dxf>
          </x14:cfRule>
          <xm:sqref>Y7</xm:sqref>
        </x14:conditionalFormatting>
        <x14:conditionalFormatting xmlns:xm="http://schemas.microsoft.com/office/excel/2006/main">
          <x14:cfRule type="expression" priority="116" stopIfTrue="1" id="{76494F96-820B-490B-90FC-C3084AF80079}">
            <xm:f>(60 * HOUR(Z7) + MINUTE(Z7)) &gt;(60 * HOUR(INDEX('1.Locations'!G2:G21,T7 + 1)) +MINUTE(INDEX('1.Locations'!G2:G21,T7 + 1)))</xm:f>
            <x14:dxf>
              <fill>
                <patternFill>
                  <bgColor indexed="52"/>
                </patternFill>
              </fill>
            </x14:dxf>
          </x14:cfRule>
          <xm:sqref>Z7</xm:sqref>
        </x14:conditionalFormatting>
        <x14:conditionalFormatting xmlns:xm="http://schemas.microsoft.com/office/excel/2006/main">
          <x14:cfRule type="cellIs" priority="117" stopIfTrue="1" operator="lessThan" id="{FA3702B1-BFB2-49D2-AC90-87FA475C81B7}">
            <xm:f>INDEX('1.Locations'!F2:F21,T8 + 1)</xm:f>
            <x14:dxf>
              <fill>
                <patternFill>
                  <bgColor indexed="52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118" stopIfTrue="1" id="{9F26F2FD-84C9-4F15-96E4-A71B97806C66}">
            <xm:f>(60 * HOUR(Y8) + MINUTE(Y8)) &gt;(60 * HOUR(INDEX('1.Locations'!G2:G21,T8 + 1)) +MINUTE(INDEX('1.Locations'!G2:G21,T8 + 1)))</xm:f>
            <x14:dxf>
              <fill>
                <patternFill>
                  <bgColor indexed="52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119" stopIfTrue="1" id="{62523AA2-A8F4-4D6E-843F-4B0DFF2AD25F}">
            <xm:f>(60 * HOUR(Z8) + MINUTE(Z8)) &gt;(60 * HOUR(INDEX('1.Locations'!G2:G21,T8 + 1)) +MINUTE(INDEX('1.Locations'!G2:G21,T8 + 1)))</xm:f>
            <x14:dxf>
              <fill>
                <patternFill>
                  <bgColor indexed="52"/>
                </patternFill>
              </fill>
            </x14:dxf>
          </x14:cfRule>
          <xm:sqref>Z8</xm:sqref>
        </x14:conditionalFormatting>
        <x14:conditionalFormatting xmlns:xm="http://schemas.microsoft.com/office/excel/2006/main">
          <x14:cfRule type="cellIs" priority="120" stopIfTrue="1" operator="lessThan" id="{4739FDDB-13EA-4C6B-A45C-A4CF8CAF2B04}">
            <xm:f>INDEX('1.Locations'!F2:F21,T9 + 1)</xm:f>
            <x14:dxf>
              <fill>
                <patternFill>
                  <bgColor indexed="52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121" stopIfTrue="1" id="{6A582723-4425-4AB0-A806-7599DE033D3E}">
            <xm:f>(60 * HOUR(Y9) + MINUTE(Y9)) &gt;(60 * HOUR(INDEX('1.Locations'!G2:G21,T9 + 1)) +MINUTE(INDEX('1.Locations'!G2:G21,T9 + 1)))</xm:f>
            <x14:dxf>
              <fill>
                <patternFill>
                  <bgColor indexed="52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122" stopIfTrue="1" id="{C0AAC4EA-700C-4880-B35A-1BAB3C63776D}">
            <xm:f>(60 * HOUR(Z9) + MINUTE(Z9)) &gt;(60 * HOUR(INDEX('1.Locations'!G2:G21,T9 + 1)) +MINUTE(INDEX('1.Locations'!G2:G21,T9 + 1)))</xm:f>
            <x14:dxf>
              <fill>
                <patternFill>
                  <bgColor indexed="52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ellIs" priority="123" stopIfTrue="1" operator="lessThan" id="{A1D349B8-F268-4AC3-AAF9-B3317EBB8CF7}">
            <xm:f>INDEX('1.Locations'!F2:F21,T10 + 1)</xm:f>
            <x14:dxf>
              <fill>
                <patternFill>
                  <bgColor indexed="52"/>
                </patternFill>
              </fill>
            </x14:dxf>
          </x14:cfRule>
          <xm:sqref>Y10</xm:sqref>
        </x14:conditionalFormatting>
        <x14:conditionalFormatting xmlns:xm="http://schemas.microsoft.com/office/excel/2006/main">
          <x14:cfRule type="expression" priority="124" stopIfTrue="1" id="{9B50898C-A667-4062-8F48-00B350F3D89C}">
            <xm:f>(60 * HOUR(Y10) + MINUTE(Y10)) &gt;(60 * HOUR(INDEX('1.Locations'!G2:G21,T10 + 1)) +MINUTE(INDEX('1.Locations'!G2:G21,T10 + 1)))</xm:f>
            <x14:dxf>
              <fill>
                <patternFill>
                  <bgColor indexed="52"/>
                </patternFill>
              </fill>
            </x14:dxf>
          </x14:cfRule>
          <xm:sqref>Y10</xm:sqref>
        </x14:conditionalFormatting>
        <x14:conditionalFormatting xmlns:xm="http://schemas.microsoft.com/office/excel/2006/main">
          <x14:cfRule type="expression" priority="125" stopIfTrue="1" id="{490E97B4-4C50-48F0-813C-1B1320ED7278}">
            <xm:f>(60 * HOUR(Z10) + MINUTE(Z10)) &gt;(60 * HOUR(INDEX('1.Locations'!G2:G21,T10 + 1)) +MINUTE(INDEX('1.Locations'!G2:G21,T10 + 1)))</xm:f>
            <x14:dxf>
              <fill>
                <patternFill>
                  <bgColor indexed="52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ellIs" priority="126" stopIfTrue="1" operator="lessThan" id="{7C9B671D-5BA9-4852-BF7F-3A61DB64373B}">
            <xm:f>INDEX('1.Locations'!F2:F21,T11 + 1)</xm:f>
            <x14:dxf>
              <fill>
                <patternFill>
                  <bgColor indexed="52"/>
                </patternFill>
              </fill>
            </x14:dxf>
          </x14:cfRule>
          <xm:sqref>Y11</xm:sqref>
        </x14:conditionalFormatting>
        <x14:conditionalFormatting xmlns:xm="http://schemas.microsoft.com/office/excel/2006/main">
          <x14:cfRule type="expression" priority="127" stopIfTrue="1" id="{1EDD65E7-0C94-4525-9255-B1E5AE44D619}">
            <xm:f>(60 * HOUR(Y11) + MINUTE(Y11)) &gt;(60 * HOUR(INDEX('1.Locations'!G2:G21,T11 + 1)) +MINUTE(INDEX('1.Locations'!G2:G21,T11 + 1)))</xm:f>
            <x14:dxf>
              <fill>
                <patternFill>
                  <bgColor indexed="52"/>
                </patternFill>
              </fill>
            </x14:dxf>
          </x14:cfRule>
          <xm:sqref>Y11</xm:sqref>
        </x14:conditionalFormatting>
        <x14:conditionalFormatting xmlns:xm="http://schemas.microsoft.com/office/excel/2006/main">
          <x14:cfRule type="expression" priority="128" stopIfTrue="1" id="{A89594EB-900E-4970-BFAC-88A339BC1F1A}">
            <xm:f>(60 * HOUR(Z11) + MINUTE(Z11)) &gt;(60 * HOUR(INDEX('1.Locations'!G2:G21,T11 + 1)) +MINUTE(INDEX('1.Locations'!G2:G21,T11 + 1)))</xm:f>
            <x14:dxf>
              <fill>
                <patternFill>
                  <bgColor indexed="52"/>
                </patternFill>
              </fill>
            </x14:dxf>
          </x14:cfRule>
          <xm:sqref>Z11</xm:sqref>
        </x14:conditionalFormatting>
        <x14:conditionalFormatting xmlns:xm="http://schemas.microsoft.com/office/excel/2006/main">
          <x14:cfRule type="cellIs" priority="129" stopIfTrue="1" operator="lessThan" id="{7DAB6BFD-21ED-4BFA-9FD9-280739F10CDB}">
            <xm:f>INDEX('1.Locations'!F2:F21,T12 + 1)</xm:f>
            <x14:dxf>
              <fill>
                <patternFill>
                  <bgColor indexed="52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130" stopIfTrue="1" id="{AE5C6E8D-400E-447C-A096-22265B46C8DC}">
            <xm:f>(60 * HOUR(Y12) + MINUTE(Y12)) &gt;(60 * HOUR(INDEX('1.Locations'!G2:G21,T12 + 1)) +MINUTE(INDEX('1.Locations'!G2:G21,T12 + 1)))</xm:f>
            <x14:dxf>
              <fill>
                <patternFill>
                  <bgColor indexed="52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131" stopIfTrue="1" id="{23384612-5A70-4B7A-8849-6E4CF72B2859}">
            <xm:f>(60 * HOUR(Z12) + MINUTE(Z12)) &gt;(60 * HOUR(INDEX('1.Locations'!G2:G21,T12 + 1)) +MINUTE(INDEX('1.Locations'!G2:G21,T12 + 1)))</xm:f>
            <x14:dxf>
              <fill>
                <patternFill>
                  <bgColor indexed="52"/>
                </patternFill>
              </fill>
            </x14:dxf>
          </x14:cfRule>
          <xm:sqref>Z12</xm:sqref>
        </x14:conditionalFormatting>
        <x14:conditionalFormatting xmlns:xm="http://schemas.microsoft.com/office/excel/2006/main">
          <x14:cfRule type="cellIs" priority="132" stopIfTrue="1" operator="lessThan" id="{95FB3569-5856-40E8-9A2C-6761802ED692}">
            <xm:f>INDEX('1.Locations'!F2:F21,T13 + 1)</xm:f>
            <x14:dxf>
              <fill>
                <patternFill>
                  <bgColor indexed="52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133" stopIfTrue="1" id="{A2DF8431-2DD5-4815-85A1-3630D66FAB3A}">
            <xm:f>(60 * HOUR(Y13) + MINUTE(Y13)) &gt;(60 * HOUR(INDEX('1.Locations'!G2:G21,T13 + 1)) +MINUTE(INDEX('1.Locations'!G2:G21,T13 + 1)))</xm:f>
            <x14:dxf>
              <fill>
                <patternFill>
                  <bgColor indexed="52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134" stopIfTrue="1" id="{475BA6FA-036F-43C8-93BF-9D6E559ABD38}">
            <xm:f>(60 * HOUR(Z13) + MINUTE(Z13)) &gt;(60 * HOUR(INDEX('1.Locations'!G2:G21,T13 + 1)) +MINUTE(INDEX('1.Locations'!G2:G21,T13 + 1)))</xm:f>
            <x14:dxf>
              <fill>
                <patternFill>
                  <bgColor indexed="52"/>
                </patternFill>
              </fill>
            </x14:dxf>
          </x14:cfRule>
          <xm:sqref>Z13</xm:sqref>
        </x14:conditionalFormatting>
        <x14:conditionalFormatting xmlns:xm="http://schemas.microsoft.com/office/excel/2006/main">
          <x14:cfRule type="cellIs" priority="135" stopIfTrue="1" operator="lessThan" id="{EDFA0D81-C429-48F0-9F7A-6980F418EFD8}">
            <xm:f>INDEX('1.Locations'!F2:F21,T14 + 1)</xm:f>
            <x14:dxf>
              <fill>
                <patternFill>
                  <bgColor indexed="52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136" stopIfTrue="1" id="{65D20AA3-5866-4470-9F80-27B19D2B3DBB}">
            <xm:f>(60 * HOUR(Y14) + MINUTE(Y14)) &gt;(60 * HOUR(INDEX('1.Locations'!G2:G21,T14 + 1)) +MINUTE(INDEX('1.Locations'!G2:G21,T14 + 1)))</xm:f>
            <x14:dxf>
              <fill>
                <patternFill>
                  <bgColor indexed="52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137" stopIfTrue="1" id="{8C779948-75E6-4C02-9F80-E4AED3A94EE0}">
            <xm:f>(60 * HOUR(Z14) + MINUTE(Z14)) &gt;(60 * HOUR(INDEX('1.Locations'!G2:G21,T14 + 1)) +MINUTE(INDEX('1.Locations'!G2:G21,T14 + 1)))</xm:f>
            <x14:dxf>
              <fill>
                <patternFill>
                  <bgColor indexed="52"/>
                </patternFill>
              </fill>
            </x14:dxf>
          </x14:cfRule>
          <xm:sqref>Z14</xm:sqref>
        </x14:conditionalFormatting>
        <x14:conditionalFormatting xmlns:xm="http://schemas.microsoft.com/office/excel/2006/main">
          <x14:cfRule type="cellIs" priority="138" stopIfTrue="1" operator="lessThan" id="{151CAF42-BC17-4D4F-91A0-778C624E91D3}">
            <xm:f>INDEX('1.Locations'!F2:F21,T15 + 1)</xm:f>
            <x14:dxf>
              <fill>
                <patternFill>
                  <bgColor indexed="52"/>
                </patternFill>
              </fill>
            </x14:dxf>
          </x14:cfRule>
          <xm:sqref>Y15</xm:sqref>
        </x14:conditionalFormatting>
        <x14:conditionalFormatting xmlns:xm="http://schemas.microsoft.com/office/excel/2006/main">
          <x14:cfRule type="expression" priority="139" stopIfTrue="1" id="{6F4D4F0F-14B4-4BCD-AE93-E23922E742F0}">
            <xm:f>(60 * HOUR(Y15) + MINUTE(Y15)) &gt;(60 * HOUR(INDEX('1.Locations'!G2:G21,T15 + 1)) +MINUTE(INDEX('1.Locations'!G2:G21,T15 + 1)))</xm:f>
            <x14:dxf>
              <fill>
                <patternFill>
                  <bgColor indexed="52"/>
                </patternFill>
              </fill>
            </x14:dxf>
          </x14:cfRule>
          <xm:sqref>Y15</xm:sqref>
        </x14:conditionalFormatting>
        <x14:conditionalFormatting xmlns:xm="http://schemas.microsoft.com/office/excel/2006/main">
          <x14:cfRule type="expression" priority="140" stopIfTrue="1" id="{1DABEF58-78B0-4C03-BF8B-478C67BF1E55}">
            <xm:f>(60 * HOUR(Z15) + MINUTE(Z15)) &gt;(60 * HOUR(INDEX('1.Locations'!G2:G21,T15 + 1)) +MINUTE(INDEX('1.Locations'!G2:G21,T15 + 1)))</xm:f>
            <x14:dxf>
              <fill>
                <patternFill>
                  <bgColor indexed="52"/>
                </patternFill>
              </fill>
            </x14:dxf>
          </x14:cfRule>
          <xm:sqref>Z15</xm:sqref>
        </x14:conditionalFormatting>
        <x14:conditionalFormatting xmlns:xm="http://schemas.microsoft.com/office/excel/2006/main">
          <x14:cfRule type="cellIs" priority="141" stopIfTrue="1" operator="lessThan" id="{8EFE5CA8-D63A-4230-BD28-0852708FE44E}">
            <xm:f>INDEX('1.Locations'!F2:F21,T16 + 1)</xm:f>
            <x14:dxf>
              <fill>
                <patternFill>
                  <bgColor indexed="52"/>
                </patternFill>
              </fill>
            </x14:dxf>
          </x14:cfRule>
          <xm:sqref>Y16</xm:sqref>
        </x14:conditionalFormatting>
        <x14:conditionalFormatting xmlns:xm="http://schemas.microsoft.com/office/excel/2006/main">
          <x14:cfRule type="expression" priority="142" stopIfTrue="1" id="{7D83C239-6921-4AB5-AD57-D7271C01D834}">
            <xm:f>(60 * HOUR(Y16) + MINUTE(Y16)) &gt;(60 * HOUR(INDEX('1.Locations'!G2:G21,T16 + 1)) +MINUTE(INDEX('1.Locations'!G2:G21,T16 + 1)))</xm:f>
            <x14:dxf>
              <fill>
                <patternFill>
                  <bgColor indexed="52"/>
                </patternFill>
              </fill>
            </x14:dxf>
          </x14:cfRule>
          <xm:sqref>Y16</xm:sqref>
        </x14:conditionalFormatting>
        <x14:conditionalFormatting xmlns:xm="http://schemas.microsoft.com/office/excel/2006/main">
          <x14:cfRule type="expression" priority="143" stopIfTrue="1" id="{E2E161C7-B9AE-4C61-B4FF-8F005FFF1722}">
            <xm:f>(60 * HOUR(Z16) + MINUTE(Z16)) &gt;(60 * HOUR(INDEX('1.Locations'!G2:G21,T16 + 1)) +MINUTE(INDEX('1.Locations'!G2:G21,T16 + 1)))</xm:f>
            <x14:dxf>
              <fill>
                <patternFill>
                  <bgColor indexed="52"/>
                </patternFill>
              </fill>
            </x14:dxf>
          </x14:cfRule>
          <xm:sqref>Z16</xm:sqref>
        </x14:conditionalFormatting>
        <x14:conditionalFormatting xmlns:xm="http://schemas.microsoft.com/office/excel/2006/main">
          <x14:cfRule type="cellIs" priority="144" stopIfTrue="1" operator="lessThan" id="{3C76BC7E-A02A-4AD1-8977-49B02C60B0BD}">
            <xm:f>INDEX('1.Locations'!F2:F21,T17 + 1)</xm:f>
            <x14:dxf>
              <fill>
                <patternFill>
                  <bgColor indexed="52"/>
                </patternFill>
              </fill>
            </x14:dxf>
          </x14:cfRule>
          <xm:sqref>Y17</xm:sqref>
        </x14:conditionalFormatting>
        <x14:conditionalFormatting xmlns:xm="http://schemas.microsoft.com/office/excel/2006/main">
          <x14:cfRule type="expression" priority="145" stopIfTrue="1" id="{040BC08D-DD50-4EA8-9705-80DCE416A12F}">
            <xm:f>(60 * HOUR(Y17) + MINUTE(Y17)) &gt;(60 * HOUR(INDEX('1.Locations'!G2:G21,T17 + 1)) +MINUTE(INDEX('1.Locations'!G2:G21,T17 + 1)))</xm:f>
            <x14:dxf>
              <fill>
                <patternFill>
                  <bgColor indexed="52"/>
                </patternFill>
              </fill>
            </x14:dxf>
          </x14:cfRule>
          <xm:sqref>Y17</xm:sqref>
        </x14:conditionalFormatting>
        <x14:conditionalFormatting xmlns:xm="http://schemas.microsoft.com/office/excel/2006/main">
          <x14:cfRule type="expression" priority="146" stopIfTrue="1" id="{304E3A5F-2692-4B31-A0A6-D6DB7BB5E648}">
            <xm:f>(60 * HOUR(Z17) + MINUTE(Z17)) &gt;(60 * HOUR(INDEX('1.Locations'!G2:G21,T17 + 1)) +MINUTE(INDEX('1.Locations'!G2:G21,T17 + 1)))</xm:f>
            <x14:dxf>
              <fill>
                <patternFill>
                  <bgColor indexed="52"/>
                </patternFill>
              </fill>
            </x14:dxf>
          </x14:cfRule>
          <xm:sqref>Z17</xm:sqref>
        </x14:conditionalFormatting>
        <x14:conditionalFormatting xmlns:xm="http://schemas.microsoft.com/office/excel/2006/main">
          <x14:cfRule type="cellIs" priority="147" stopIfTrue="1" operator="lessThan" id="{3B906519-B6C7-4ACE-82E6-DBAB3710C418}">
            <xm:f>INDEX('1.Locations'!F2:F21,T18 + 1)</xm:f>
            <x14:dxf>
              <fill>
                <patternFill>
                  <bgColor indexed="52"/>
                </patternFill>
              </fill>
            </x14:dxf>
          </x14:cfRule>
          <xm:sqref>Y18</xm:sqref>
        </x14:conditionalFormatting>
        <x14:conditionalFormatting xmlns:xm="http://schemas.microsoft.com/office/excel/2006/main">
          <x14:cfRule type="expression" priority="148" stopIfTrue="1" id="{8A5A9853-C400-418C-8A92-CBA6A39AD461}">
            <xm:f>(60 * HOUR(Y18) + MINUTE(Y18)) &gt;(60 * HOUR(INDEX('1.Locations'!G2:G21,T18 + 1)) +MINUTE(INDEX('1.Locations'!G2:G21,T18 + 1)))</xm:f>
            <x14:dxf>
              <fill>
                <patternFill>
                  <bgColor indexed="52"/>
                </patternFill>
              </fill>
            </x14:dxf>
          </x14:cfRule>
          <xm:sqref>Y18</xm:sqref>
        </x14:conditionalFormatting>
        <x14:conditionalFormatting xmlns:xm="http://schemas.microsoft.com/office/excel/2006/main">
          <x14:cfRule type="expression" priority="149" stopIfTrue="1" id="{009E5A72-0335-4646-9620-5098644A0E58}">
            <xm:f>(60 * HOUR(Z18) + MINUTE(Z18)) &gt;(60 * HOUR(INDEX('1.Locations'!G2:G21,T18 + 1)) +MINUTE(INDEX('1.Locations'!G2:G21,T18 + 1)))</xm:f>
            <x14:dxf>
              <fill>
                <patternFill>
                  <bgColor indexed="52"/>
                </patternFill>
              </fill>
            </x14:dxf>
          </x14:cfRule>
          <xm:sqref>Z18</xm:sqref>
        </x14:conditionalFormatting>
        <x14:conditionalFormatting xmlns:xm="http://schemas.microsoft.com/office/excel/2006/main">
          <x14:cfRule type="cellIs" priority="150" stopIfTrue="1" operator="lessThan" id="{5B73D36C-A495-42D2-8FCB-52B0515E61BE}">
            <xm:f>INDEX('1.Locations'!F2:F21,T19 + 1)</xm:f>
            <x14:dxf>
              <fill>
                <patternFill>
                  <bgColor indexed="52"/>
                </patternFill>
              </fill>
            </x14:dxf>
          </x14:cfRule>
          <xm:sqref>Y19</xm:sqref>
        </x14:conditionalFormatting>
        <x14:conditionalFormatting xmlns:xm="http://schemas.microsoft.com/office/excel/2006/main">
          <x14:cfRule type="expression" priority="151" stopIfTrue="1" id="{865CF0D6-EC00-40E5-95D3-1A64CBBECA95}">
            <xm:f>(60 * HOUR(Y19) + MINUTE(Y19)) &gt;(60 * HOUR(INDEX('1.Locations'!G2:G21,T19 + 1)) +MINUTE(INDEX('1.Locations'!G2:G21,T19 + 1)))</xm:f>
            <x14:dxf>
              <fill>
                <patternFill>
                  <bgColor indexed="52"/>
                </patternFill>
              </fill>
            </x14:dxf>
          </x14:cfRule>
          <xm:sqref>Y19</xm:sqref>
        </x14:conditionalFormatting>
        <x14:conditionalFormatting xmlns:xm="http://schemas.microsoft.com/office/excel/2006/main">
          <x14:cfRule type="expression" priority="152" stopIfTrue="1" id="{546A53B1-8F92-4C5E-BE3F-42BE5155E02F}">
            <xm:f>(60 * HOUR(Z19) + MINUTE(Z19)) &gt;(60 * HOUR(INDEX('1.Locations'!G2:G21,T19 + 1)) +MINUTE(INDEX('1.Locations'!G2:G21,T19 + 1)))</xm:f>
            <x14:dxf>
              <fill>
                <patternFill>
                  <bgColor indexed="52"/>
                </patternFill>
              </fill>
            </x14:dxf>
          </x14:cfRule>
          <xm:sqref>Z19</xm:sqref>
        </x14:conditionalFormatting>
        <x14:conditionalFormatting xmlns:xm="http://schemas.microsoft.com/office/excel/2006/main">
          <x14:cfRule type="cellIs" priority="153" stopIfTrue="1" operator="lessThan" id="{7A2D46AD-FDF2-46D7-A7B1-DD2803FFED5D}">
            <xm:f>INDEX('1.Locations'!F2:F21,T20 + 1)</xm:f>
            <x14:dxf>
              <fill>
                <patternFill>
                  <bgColor indexed="52"/>
                </patternFill>
              </fill>
            </x14:dxf>
          </x14:cfRule>
          <xm:sqref>Y20</xm:sqref>
        </x14:conditionalFormatting>
        <x14:conditionalFormatting xmlns:xm="http://schemas.microsoft.com/office/excel/2006/main">
          <x14:cfRule type="expression" priority="154" stopIfTrue="1" id="{74DECC08-FD69-40F9-978F-30CE0A486B25}">
            <xm:f>(60 * HOUR(Y20) + MINUTE(Y20)) &gt;(60 * HOUR(INDEX('1.Locations'!G2:G21,T20 + 1)) +MINUTE(INDEX('1.Locations'!G2:G21,T20 + 1)))</xm:f>
            <x14:dxf>
              <fill>
                <patternFill>
                  <bgColor indexed="52"/>
                </patternFill>
              </fill>
            </x14:dxf>
          </x14:cfRule>
          <xm:sqref>Y20</xm:sqref>
        </x14:conditionalFormatting>
        <x14:conditionalFormatting xmlns:xm="http://schemas.microsoft.com/office/excel/2006/main">
          <x14:cfRule type="expression" priority="155" stopIfTrue="1" id="{0A07E690-212A-4EE0-B3EB-52DA12C1C0A8}">
            <xm:f>(60 * HOUR(Z20) + MINUTE(Z20)) &gt;(60 * HOUR(INDEX('1.Locations'!G2:G21,T20 + 1)) +MINUTE(INDEX('1.Locations'!G2:G21,T20 + 1)))</xm:f>
            <x14:dxf>
              <fill>
                <patternFill>
                  <bgColor indexed="52"/>
                </patternFill>
              </fill>
            </x14:dxf>
          </x14:cfRule>
          <xm:sqref>Z20</xm:sqref>
        </x14:conditionalFormatting>
        <x14:conditionalFormatting xmlns:xm="http://schemas.microsoft.com/office/excel/2006/main">
          <x14:cfRule type="cellIs" priority="156" stopIfTrue="1" operator="lessThan" id="{6B46D654-F7D0-4B43-8BD5-6E2E18795691}">
            <xm:f>INDEX('1.Locations'!F2:F21,T21 + 1)</xm:f>
            <x14:dxf>
              <fill>
                <patternFill>
                  <bgColor indexed="52"/>
                </patternFill>
              </fill>
            </x14:dxf>
          </x14:cfRule>
          <xm:sqref>Y21</xm:sqref>
        </x14:conditionalFormatting>
        <x14:conditionalFormatting xmlns:xm="http://schemas.microsoft.com/office/excel/2006/main">
          <x14:cfRule type="expression" priority="157" stopIfTrue="1" id="{8132B3F0-ED55-44FA-8ABD-A11C53A9708B}">
            <xm:f>(60 * HOUR(Y21) + MINUTE(Y21)) &gt;(60 * HOUR(INDEX('1.Locations'!G2:G21,T21 + 1)) +MINUTE(INDEX('1.Locations'!G2:G21,T21 + 1)))</xm:f>
            <x14:dxf>
              <fill>
                <patternFill>
                  <bgColor indexed="52"/>
                </patternFill>
              </fill>
            </x14:dxf>
          </x14:cfRule>
          <xm:sqref>Y21</xm:sqref>
        </x14:conditionalFormatting>
        <x14:conditionalFormatting xmlns:xm="http://schemas.microsoft.com/office/excel/2006/main">
          <x14:cfRule type="expression" priority="158" stopIfTrue="1" id="{06023DFA-CF4F-4708-83AF-FEB4C4EB4B4D}">
            <xm:f>(60 * HOUR(Z21) + MINUTE(Z21)) &gt;(60 * HOUR(INDEX('1.Locations'!G2:G21,T21 + 1)) +MINUTE(INDEX('1.Locations'!G2:G21,T21 + 1)))</xm:f>
            <x14:dxf>
              <fill>
                <patternFill>
                  <bgColor indexed="52"/>
                </patternFill>
              </fill>
            </x14:dxf>
          </x14:cfRule>
          <xm:sqref>Z21</xm:sqref>
        </x14:conditionalFormatting>
        <x14:conditionalFormatting xmlns:xm="http://schemas.microsoft.com/office/excel/2006/main">
          <x14:cfRule type="cellIs" priority="159" stopIfTrue="1" operator="lessThan" id="{8E85A7D7-FF01-4EC7-9C0D-0D7E929F25D9}">
            <xm:f>INDEX('1.Locations'!F2:F21,T22 + 1)</xm:f>
            <x14:dxf>
              <fill>
                <patternFill>
                  <bgColor indexed="52"/>
                </patternFill>
              </fill>
            </x14:dxf>
          </x14:cfRule>
          <xm:sqref>Y22</xm:sqref>
        </x14:conditionalFormatting>
        <x14:conditionalFormatting xmlns:xm="http://schemas.microsoft.com/office/excel/2006/main">
          <x14:cfRule type="expression" priority="160" stopIfTrue="1" id="{4794475A-0F7B-4CD3-8FDC-229DA95A0AA2}">
            <xm:f>(60 * HOUR(Y22) + MINUTE(Y22)) &gt;(60 * HOUR(INDEX('1.Locations'!G2:G21,T22 + 1)) +MINUTE(INDEX('1.Locations'!G2:G21,T22 + 1)))</xm:f>
            <x14:dxf>
              <fill>
                <patternFill>
                  <bgColor indexed="52"/>
                </patternFill>
              </fill>
            </x14:dxf>
          </x14:cfRule>
          <xm:sqref>Y22</xm:sqref>
        </x14:conditionalFormatting>
        <x14:conditionalFormatting xmlns:xm="http://schemas.microsoft.com/office/excel/2006/main">
          <x14:cfRule type="expression" priority="161" stopIfTrue="1" id="{953FA070-E35E-416D-975E-F579AD103F4D}">
            <xm:f>(60 * HOUR(Z22) + MINUTE(Z22)) &gt;(60 * HOUR(INDEX('1.Locations'!G2:G21,T22 + 1)) +MINUTE(INDEX('1.Locations'!G2:G21,T22 + 1)))</xm:f>
            <x14:dxf>
              <fill>
                <patternFill>
                  <bgColor indexed="52"/>
                </patternFill>
              </fill>
            </x14:dxf>
          </x14:cfRule>
          <xm:sqref>Z22</xm:sqref>
        </x14:conditionalFormatting>
        <x14:conditionalFormatting xmlns:xm="http://schemas.microsoft.com/office/excel/2006/main">
          <x14:cfRule type="cellIs" priority="162" stopIfTrue="1" operator="lessThan" id="{4569ED15-9C31-4CF2-AC05-D8E2D7964F95}">
            <xm:f>INDEX('1.Locations'!F2:F21,T23 + 1)</xm:f>
            <x14:dxf>
              <fill>
                <patternFill>
                  <bgColor indexed="52"/>
                </patternFill>
              </fill>
            </x14:dxf>
          </x14:cfRule>
          <xm:sqref>Y23</xm:sqref>
        </x14:conditionalFormatting>
        <x14:conditionalFormatting xmlns:xm="http://schemas.microsoft.com/office/excel/2006/main">
          <x14:cfRule type="expression" priority="163" stopIfTrue="1" id="{264093E4-706E-45CC-9F25-435586322AF7}">
            <xm:f>(60 * HOUR(Y23) + MINUTE(Y23)) &gt;(60 * HOUR(INDEX('1.Locations'!G2:G21,T23 + 1)) +MINUTE(INDEX('1.Locations'!G2:G21,T23 + 1)))</xm:f>
            <x14:dxf>
              <fill>
                <patternFill>
                  <bgColor indexed="52"/>
                </patternFill>
              </fill>
            </x14:dxf>
          </x14:cfRule>
          <xm:sqref>Y23</xm:sqref>
        </x14:conditionalFormatting>
        <x14:conditionalFormatting xmlns:xm="http://schemas.microsoft.com/office/excel/2006/main">
          <x14:cfRule type="expression" priority="164" stopIfTrue="1" id="{2F0E41CC-ED4B-4346-A3CC-BDCF433A2939}">
            <xm:f>(60 * HOUR(Z23) + MINUTE(Z23)) &gt;(60 * HOUR(INDEX('1.Locations'!G2:G21,T23 + 1)) +MINUTE(INDEX('1.Locations'!G2:G21,T23 + 1)))</xm:f>
            <x14:dxf>
              <fill>
                <patternFill>
                  <bgColor indexed="52"/>
                </patternFill>
              </fill>
            </x14:dxf>
          </x14:cfRule>
          <xm:sqref>Z23</xm:sqref>
        </x14:conditionalFormatting>
        <x14:conditionalFormatting xmlns:xm="http://schemas.microsoft.com/office/excel/2006/main">
          <x14:cfRule type="cellIs" priority="165" stopIfTrue="1" operator="lessThan" id="{D83FD0CA-FBBE-4AC9-B12D-FE0C7C07F24A}">
            <xm:f>INDEX('1.Locations'!F2:F21,T24 + 1)</xm:f>
            <x14:dxf>
              <fill>
                <patternFill>
                  <bgColor indexed="52"/>
                </patternFill>
              </fill>
            </x14:dxf>
          </x14:cfRule>
          <xm:sqref>Y24</xm:sqref>
        </x14:conditionalFormatting>
        <x14:conditionalFormatting xmlns:xm="http://schemas.microsoft.com/office/excel/2006/main">
          <x14:cfRule type="expression" priority="166" stopIfTrue="1" id="{8C6A337D-1006-4EB7-8C9B-17FDFA48AA14}">
            <xm:f>(60 * HOUR(Y24) + MINUTE(Y24)) &gt;(60 * HOUR(INDEX('1.Locations'!G2:G21,T24 + 1)) +MINUTE(INDEX('1.Locations'!G2:G21,T24 + 1)))</xm:f>
            <x14:dxf>
              <fill>
                <patternFill>
                  <bgColor indexed="52"/>
                </patternFill>
              </fill>
            </x14:dxf>
          </x14:cfRule>
          <xm:sqref>Y24</xm:sqref>
        </x14:conditionalFormatting>
        <x14:conditionalFormatting xmlns:xm="http://schemas.microsoft.com/office/excel/2006/main">
          <x14:cfRule type="expression" priority="167" stopIfTrue="1" id="{757B6187-F96C-42EA-9918-503ABAC1E22F}">
            <xm:f>(60 * HOUR(Z24) + MINUTE(Z24)) &gt;(60 * HOUR(INDEX('1.Locations'!G2:G21,T24 + 1)) +MINUTE(INDEX('1.Locations'!G2:G21,T24 + 1)))</xm:f>
            <x14:dxf>
              <fill>
                <patternFill>
                  <bgColor indexed="52"/>
                </patternFill>
              </fill>
            </x14:dxf>
          </x14:cfRule>
          <xm:sqref>Z24</xm:sqref>
        </x14:conditionalFormatting>
        <x14:conditionalFormatting xmlns:xm="http://schemas.microsoft.com/office/excel/2006/main">
          <x14:cfRule type="cellIs" priority="168" stopIfTrue="1" operator="lessThan" id="{9F89343D-3AE8-4EB6-8081-6B04BED4C52E}">
            <xm:f>INDEX('1.Locations'!F2:F21,T25 + 1)</xm:f>
            <x14:dxf>
              <fill>
                <patternFill>
                  <bgColor indexed="52"/>
                </patternFill>
              </fill>
            </x14:dxf>
          </x14:cfRule>
          <xm:sqref>Y25</xm:sqref>
        </x14:conditionalFormatting>
        <x14:conditionalFormatting xmlns:xm="http://schemas.microsoft.com/office/excel/2006/main">
          <x14:cfRule type="expression" priority="169" stopIfTrue="1" id="{35289679-9465-4B8E-BAD1-087F40882694}">
            <xm:f>(60 * HOUR(Y25) + MINUTE(Y25)) &gt;(60 * HOUR(INDEX('1.Locations'!G2:G21,T25 + 1)) +MINUTE(INDEX('1.Locations'!G2:G21,T25 + 1)))</xm:f>
            <x14:dxf>
              <fill>
                <patternFill>
                  <bgColor indexed="52"/>
                </patternFill>
              </fill>
            </x14:dxf>
          </x14:cfRule>
          <xm:sqref>Y25</xm:sqref>
        </x14:conditionalFormatting>
        <x14:conditionalFormatting xmlns:xm="http://schemas.microsoft.com/office/excel/2006/main">
          <x14:cfRule type="expression" priority="170" stopIfTrue="1" id="{35ADE6DD-B943-4570-9A00-A5AC8C41BE2F}">
            <xm:f>(60 * HOUR(Z25) + MINUTE(Z25)) &gt;(60 * HOUR(INDEX('1.Locations'!G2:G21,T25 + 1)) +MINUTE(INDEX('1.Locations'!G2:G21,T25 + 1)))</xm:f>
            <x14:dxf>
              <fill>
                <patternFill>
                  <bgColor indexed="52"/>
                </patternFill>
              </fill>
            </x14:dxf>
          </x14:cfRule>
          <xm:sqref>Z25</xm:sqref>
        </x14:conditionalFormatting>
        <x14:conditionalFormatting xmlns:xm="http://schemas.microsoft.com/office/excel/2006/main">
          <x14:cfRule type="cellIs" priority="171" stopIfTrue="1" operator="greaterThan" id="{5B511E5B-BC03-4FBF-B3A0-6B454869C51E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W6:W25</xm:sqref>
        </x14:conditionalFormatting>
        <x14:conditionalFormatting xmlns:xm="http://schemas.microsoft.com/office/excel/2006/main">
          <x14:cfRule type="cellIs" priority="172" stopIfTrue="1" operator="greaterThan" id="{783EAD6B-72D0-4C0D-A6B7-BFD7E7D1FC37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AG6:AG25</xm:sqref>
        </x14:conditionalFormatting>
        <x14:conditionalFormatting xmlns:xm="http://schemas.microsoft.com/office/excel/2006/main">
          <x14:cfRule type="cellIs" priority="174" stopIfTrue="1" operator="greaterThan" id="{2748CC6E-F491-4363-9C12-635BA78BE902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X6:X25</xm:sqref>
        </x14:conditionalFormatting>
        <x14:conditionalFormatting xmlns:xm="http://schemas.microsoft.com/office/excel/2006/main">
          <x14:cfRule type="cellIs" priority="175" stopIfTrue="1" operator="greaterThan" id="{34A15EE8-583D-493D-8911-3FF22356420D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AA6:AA25</xm:sqref>
        </x14:conditionalFormatting>
        <x14:conditionalFormatting xmlns:xm="http://schemas.microsoft.com/office/excel/2006/main">
          <x14:cfRule type="expression" priority="177" stopIfTrue="1" id="{5E338F8E-EDD5-4D79-A9E6-A523B971CFE1}">
            <xm:f>(60 * HOUR(AP5) + MINUTE(AP5)) &gt;(60 * HOUR(INDEX('1.Locations'!G2:G21,AK5 + 1)) +MINUTE(INDEX('1.Locations'!G2:G21,AK5 + 1)))</xm:f>
            <x14:dxf>
              <fill>
                <patternFill>
                  <bgColor indexed="52"/>
                </patternFill>
              </fill>
            </x14:dxf>
          </x14:cfRule>
          <xm:sqref>AP5</xm:sqref>
        </x14:conditionalFormatting>
        <x14:conditionalFormatting xmlns:xm="http://schemas.microsoft.com/office/excel/2006/main">
          <x14:cfRule type="expression" priority="178" stopIfTrue="1" id="{0C41A407-D2E8-4A43-993E-A96298870944}">
            <xm:f>(60 * HOUR(AQ5) + MINUTE(AQ5)) &gt;(60 * HOUR(INDEX('1.Locations'!G2:G21,AK5 + 1)) +MINUTE(INDEX('1.Locations'!G2:G21,AK5 + 1)))</xm:f>
            <x14:dxf>
              <fill>
                <patternFill>
                  <bgColor indexed="52"/>
                </patternFill>
              </fill>
            </x14:dxf>
          </x14:cfRule>
          <xm:sqref>AQ5</xm:sqref>
        </x14:conditionalFormatting>
        <x14:conditionalFormatting xmlns:xm="http://schemas.microsoft.com/office/excel/2006/main">
          <x14:cfRule type="cellIs" priority="179" stopIfTrue="1" operator="lessThan" id="{6BE4343A-0DF7-430B-BE10-075A9E5D7BAA}">
            <xm:f>INDEX('1.Locations'!F2:F21,AK6 + 1)</xm:f>
            <x14:dxf>
              <fill>
                <patternFill>
                  <bgColor indexed="52"/>
                </patternFill>
              </fill>
            </x14:dxf>
          </x14:cfRule>
          <xm:sqref>AP6</xm:sqref>
        </x14:conditionalFormatting>
        <x14:conditionalFormatting xmlns:xm="http://schemas.microsoft.com/office/excel/2006/main">
          <x14:cfRule type="expression" priority="180" stopIfTrue="1" id="{FE26D33E-F5DE-486F-9037-36A723CEBD6F}">
            <xm:f>(60 * HOUR(AP6) + MINUTE(AP6)) &gt;(60 * HOUR(INDEX('1.Locations'!G2:G21,AK6 + 1)) +MINUTE(INDEX('1.Locations'!G2:G21,AK6 + 1)))</xm:f>
            <x14:dxf>
              <fill>
                <patternFill>
                  <bgColor indexed="52"/>
                </patternFill>
              </fill>
            </x14:dxf>
          </x14:cfRule>
          <xm:sqref>AP6</xm:sqref>
        </x14:conditionalFormatting>
        <x14:conditionalFormatting xmlns:xm="http://schemas.microsoft.com/office/excel/2006/main">
          <x14:cfRule type="expression" priority="181" stopIfTrue="1" id="{51778A0A-106D-4225-A0A2-FFC5E4F71C7E}">
            <xm:f>(60 * HOUR(AQ6) + MINUTE(AQ6)) &gt;(60 * HOUR(INDEX('1.Locations'!G2:G21,AK6 + 1)) +MINUTE(INDEX('1.Locations'!G2:G21,AK6 + 1)))</xm:f>
            <x14:dxf>
              <fill>
                <patternFill>
                  <bgColor indexed="52"/>
                </patternFill>
              </fill>
            </x14:dxf>
          </x14:cfRule>
          <xm:sqref>AQ6</xm:sqref>
        </x14:conditionalFormatting>
        <x14:conditionalFormatting xmlns:xm="http://schemas.microsoft.com/office/excel/2006/main">
          <x14:cfRule type="cellIs" priority="182" stopIfTrue="1" operator="lessThan" id="{BFF2B2D7-9E99-498A-B81F-456BF7C483C1}">
            <xm:f>INDEX('1.Locations'!F2:F21,AK7 + 1)</xm:f>
            <x14:dxf>
              <fill>
                <patternFill>
                  <bgColor indexed="52"/>
                </patternFill>
              </fill>
            </x14:dxf>
          </x14:cfRule>
          <xm:sqref>AP7</xm:sqref>
        </x14:conditionalFormatting>
        <x14:conditionalFormatting xmlns:xm="http://schemas.microsoft.com/office/excel/2006/main">
          <x14:cfRule type="expression" priority="183" stopIfTrue="1" id="{7A52C1F5-B500-4972-9AB8-B33BDF6A5B90}">
            <xm:f>(60 * HOUR(AP7) + MINUTE(AP7)) &gt;(60 * HOUR(INDEX('1.Locations'!G2:G21,AK7 + 1)) +MINUTE(INDEX('1.Locations'!G2:G21,AK7 + 1)))</xm:f>
            <x14:dxf>
              <fill>
                <patternFill>
                  <bgColor indexed="52"/>
                </patternFill>
              </fill>
            </x14:dxf>
          </x14:cfRule>
          <xm:sqref>AP7</xm:sqref>
        </x14:conditionalFormatting>
        <x14:conditionalFormatting xmlns:xm="http://schemas.microsoft.com/office/excel/2006/main">
          <x14:cfRule type="expression" priority="184" stopIfTrue="1" id="{FB56A272-1406-4E16-92BE-9BC604E0C8F7}">
            <xm:f>(60 * HOUR(AQ7) + MINUTE(AQ7)) &gt;(60 * HOUR(INDEX('1.Locations'!G2:G21,AK7 + 1)) +MINUTE(INDEX('1.Locations'!G2:G21,AK7 + 1)))</xm:f>
            <x14:dxf>
              <fill>
                <patternFill>
                  <bgColor indexed="52"/>
                </patternFill>
              </fill>
            </x14:dxf>
          </x14:cfRule>
          <xm:sqref>AQ7</xm:sqref>
        </x14:conditionalFormatting>
        <x14:conditionalFormatting xmlns:xm="http://schemas.microsoft.com/office/excel/2006/main">
          <x14:cfRule type="cellIs" priority="185" stopIfTrue="1" operator="lessThan" id="{EB6448F6-957C-44BF-83AB-03B6D2DBD43F}">
            <xm:f>INDEX('1.Locations'!F2:F21,AK8 + 1)</xm:f>
            <x14:dxf>
              <fill>
                <patternFill>
                  <bgColor indexed="52"/>
                </patternFill>
              </fill>
            </x14:dxf>
          </x14:cfRule>
          <xm:sqref>AP8</xm:sqref>
        </x14:conditionalFormatting>
        <x14:conditionalFormatting xmlns:xm="http://schemas.microsoft.com/office/excel/2006/main">
          <x14:cfRule type="expression" priority="186" stopIfTrue="1" id="{06AD51D0-249C-4049-8A8B-11EAE1990B97}">
            <xm:f>(60 * HOUR(AP8) + MINUTE(AP8)) &gt;(60 * HOUR(INDEX('1.Locations'!G2:G21,AK8 + 1)) +MINUTE(INDEX('1.Locations'!G2:G21,AK8 + 1)))</xm:f>
            <x14:dxf>
              <fill>
                <patternFill>
                  <bgColor indexed="52"/>
                </patternFill>
              </fill>
            </x14:dxf>
          </x14:cfRule>
          <xm:sqref>AP8</xm:sqref>
        </x14:conditionalFormatting>
        <x14:conditionalFormatting xmlns:xm="http://schemas.microsoft.com/office/excel/2006/main">
          <x14:cfRule type="expression" priority="187" stopIfTrue="1" id="{3780AE5C-C3EB-4E39-A60A-7FCF0A07E623}">
            <xm:f>(60 * HOUR(AQ8) + MINUTE(AQ8)) &gt;(60 * HOUR(INDEX('1.Locations'!G2:G21,AK8 + 1)) +MINUTE(INDEX('1.Locations'!G2:G21,AK8 + 1)))</xm:f>
            <x14:dxf>
              <fill>
                <patternFill>
                  <bgColor indexed="52"/>
                </patternFill>
              </fill>
            </x14:dxf>
          </x14:cfRule>
          <xm:sqref>AQ8</xm:sqref>
        </x14:conditionalFormatting>
        <x14:conditionalFormatting xmlns:xm="http://schemas.microsoft.com/office/excel/2006/main">
          <x14:cfRule type="cellIs" priority="188" stopIfTrue="1" operator="lessThan" id="{EAD0178E-8D85-4493-B719-21FEE9A86C77}">
            <xm:f>INDEX('1.Locations'!F2:F21,AK9 + 1)</xm:f>
            <x14:dxf>
              <fill>
                <patternFill>
                  <bgColor indexed="52"/>
                </patternFill>
              </fill>
            </x14:dxf>
          </x14:cfRule>
          <xm:sqref>AP9</xm:sqref>
        </x14:conditionalFormatting>
        <x14:conditionalFormatting xmlns:xm="http://schemas.microsoft.com/office/excel/2006/main">
          <x14:cfRule type="expression" priority="189" stopIfTrue="1" id="{BD979F17-9B9C-463A-8B8A-91A8BAC6A893}">
            <xm:f>(60 * HOUR(AP9) + MINUTE(AP9)) &gt;(60 * HOUR(INDEX('1.Locations'!G2:G21,AK9 + 1)) +MINUTE(INDEX('1.Locations'!G2:G21,AK9 + 1)))</xm:f>
            <x14:dxf>
              <fill>
                <patternFill>
                  <bgColor indexed="52"/>
                </patternFill>
              </fill>
            </x14:dxf>
          </x14:cfRule>
          <xm:sqref>AP9</xm:sqref>
        </x14:conditionalFormatting>
        <x14:conditionalFormatting xmlns:xm="http://schemas.microsoft.com/office/excel/2006/main">
          <x14:cfRule type="expression" priority="190" stopIfTrue="1" id="{F8B2223B-F4FF-4B20-BBE0-33A367A3BD30}">
            <xm:f>(60 * HOUR(AQ9) + MINUTE(AQ9)) &gt;(60 * HOUR(INDEX('1.Locations'!G2:G21,AK9 + 1)) +MINUTE(INDEX('1.Locations'!G2:G21,AK9 + 1)))</xm:f>
            <x14:dxf>
              <fill>
                <patternFill>
                  <bgColor indexed="52"/>
                </patternFill>
              </fill>
            </x14:dxf>
          </x14:cfRule>
          <xm:sqref>AQ9</xm:sqref>
        </x14:conditionalFormatting>
        <x14:conditionalFormatting xmlns:xm="http://schemas.microsoft.com/office/excel/2006/main">
          <x14:cfRule type="cellIs" priority="191" stopIfTrue="1" operator="lessThan" id="{C23BA7DE-9023-42A8-92CB-47F94501A83E}">
            <xm:f>INDEX('1.Locations'!F2:F21,AK10 + 1)</xm:f>
            <x14:dxf>
              <fill>
                <patternFill>
                  <bgColor indexed="52"/>
                </patternFill>
              </fill>
            </x14:dxf>
          </x14:cfRule>
          <xm:sqref>AP10</xm:sqref>
        </x14:conditionalFormatting>
        <x14:conditionalFormatting xmlns:xm="http://schemas.microsoft.com/office/excel/2006/main">
          <x14:cfRule type="expression" priority="192" stopIfTrue="1" id="{FC88B697-CD65-44EE-9888-7B90AC2D5EED}">
            <xm:f>(60 * HOUR(AP10) + MINUTE(AP10)) &gt;(60 * HOUR(INDEX('1.Locations'!G2:G21,AK10 + 1)) +MINUTE(INDEX('1.Locations'!G2:G21,AK10 + 1)))</xm:f>
            <x14:dxf>
              <fill>
                <patternFill>
                  <bgColor indexed="52"/>
                </patternFill>
              </fill>
            </x14:dxf>
          </x14:cfRule>
          <xm:sqref>AP10</xm:sqref>
        </x14:conditionalFormatting>
        <x14:conditionalFormatting xmlns:xm="http://schemas.microsoft.com/office/excel/2006/main">
          <x14:cfRule type="expression" priority="193" stopIfTrue="1" id="{7B36FE44-2A58-4854-A7A6-B362FEBDD2E5}">
            <xm:f>(60 * HOUR(AQ10) + MINUTE(AQ10)) &gt;(60 * HOUR(INDEX('1.Locations'!G2:G21,AK10 + 1)) +MINUTE(INDEX('1.Locations'!G2:G21,AK10 + 1)))</xm:f>
            <x14:dxf>
              <fill>
                <patternFill>
                  <bgColor indexed="52"/>
                </patternFill>
              </fill>
            </x14:dxf>
          </x14:cfRule>
          <xm:sqref>AQ10</xm:sqref>
        </x14:conditionalFormatting>
        <x14:conditionalFormatting xmlns:xm="http://schemas.microsoft.com/office/excel/2006/main">
          <x14:cfRule type="cellIs" priority="194" stopIfTrue="1" operator="lessThan" id="{31662AF1-5F76-4732-8670-CC6CDB452D49}">
            <xm:f>INDEX('1.Locations'!F2:F21,AK11 + 1)</xm:f>
            <x14:dxf>
              <fill>
                <patternFill>
                  <bgColor indexed="52"/>
                </patternFill>
              </fill>
            </x14:dxf>
          </x14:cfRule>
          <xm:sqref>AP11</xm:sqref>
        </x14:conditionalFormatting>
        <x14:conditionalFormatting xmlns:xm="http://schemas.microsoft.com/office/excel/2006/main">
          <x14:cfRule type="expression" priority="195" stopIfTrue="1" id="{42C212A4-A851-4C9B-9DE5-1B2D723EEFB7}">
            <xm:f>(60 * HOUR(AP11) + MINUTE(AP11)) &gt;(60 * HOUR(INDEX('1.Locations'!G2:G21,AK11 + 1)) +MINUTE(INDEX('1.Locations'!G2:G21,AK11 + 1)))</xm:f>
            <x14:dxf>
              <fill>
                <patternFill>
                  <bgColor indexed="52"/>
                </patternFill>
              </fill>
            </x14:dxf>
          </x14:cfRule>
          <xm:sqref>AP11</xm:sqref>
        </x14:conditionalFormatting>
        <x14:conditionalFormatting xmlns:xm="http://schemas.microsoft.com/office/excel/2006/main">
          <x14:cfRule type="expression" priority="196" stopIfTrue="1" id="{25CDCCAB-A893-4213-8B26-86ABCB664723}">
            <xm:f>(60 * HOUR(AQ11) + MINUTE(AQ11)) &gt;(60 * HOUR(INDEX('1.Locations'!G2:G21,AK11 + 1)) +MINUTE(INDEX('1.Locations'!G2:G21,AK11 + 1)))</xm:f>
            <x14:dxf>
              <fill>
                <patternFill>
                  <bgColor indexed="52"/>
                </patternFill>
              </fill>
            </x14:dxf>
          </x14:cfRule>
          <xm:sqref>AQ11</xm:sqref>
        </x14:conditionalFormatting>
        <x14:conditionalFormatting xmlns:xm="http://schemas.microsoft.com/office/excel/2006/main">
          <x14:cfRule type="cellIs" priority="197" stopIfTrue="1" operator="lessThan" id="{284CFED1-7A33-4AEC-B866-63F2502C1988}">
            <xm:f>INDEX('1.Locations'!F2:F21,AK12 + 1)</xm:f>
            <x14:dxf>
              <fill>
                <patternFill>
                  <bgColor indexed="52"/>
                </patternFill>
              </fill>
            </x14:dxf>
          </x14:cfRule>
          <xm:sqref>AP12</xm:sqref>
        </x14:conditionalFormatting>
        <x14:conditionalFormatting xmlns:xm="http://schemas.microsoft.com/office/excel/2006/main">
          <x14:cfRule type="expression" priority="198" stopIfTrue="1" id="{903E938D-14EA-4245-822C-7E47C60A966B}">
            <xm:f>(60 * HOUR(AP12) + MINUTE(AP12)) &gt;(60 * HOUR(INDEX('1.Locations'!G2:G21,AK12 + 1)) +MINUTE(INDEX('1.Locations'!G2:G21,AK12 + 1)))</xm:f>
            <x14:dxf>
              <fill>
                <patternFill>
                  <bgColor indexed="52"/>
                </patternFill>
              </fill>
            </x14:dxf>
          </x14:cfRule>
          <xm:sqref>AP12</xm:sqref>
        </x14:conditionalFormatting>
        <x14:conditionalFormatting xmlns:xm="http://schemas.microsoft.com/office/excel/2006/main">
          <x14:cfRule type="expression" priority="199" stopIfTrue="1" id="{861C287D-7A61-4AD6-86EF-6D2430D00918}">
            <xm:f>(60 * HOUR(AQ12) + MINUTE(AQ12)) &gt;(60 * HOUR(INDEX('1.Locations'!G2:G21,AK12 + 1)) +MINUTE(INDEX('1.Locations'!G2:G21,AK12 + 1)))</xm:f>
            <x14:dxf>
              <fill>
                <patternFill>
                  <bgColor indexed="52"/>
                </patternFill>
              </fill>
            </x14:dxf>
          </x14:cfRule>
          <xm:sqref>AQ12</xm:sqref>
        </x14:conditionalFormatting>
        <x14:conditionalFormatting xmlns:xm="http://schemas.microsoft.com/office/excel/2006/main">
          <x14:cfRule type="cellIs" priority="200" stopIfTrue="1" operator="lessThan" id="{7299DAC8-10B7-4C42-A447-C0D0AB3358AD}">
            <xm:f>INDEX('1.Locations'!F2:F21,AK13 + 1)</xm:f>
            <x14:dxf>
              <fill>
                <patternFill>
                  <bgColor indexed="52"/>
                </patternFill>
              </fill>
            </x14:dxf>
          </x14:cfRule>
          <xm:sqref>AP13</xm:sqref>
        </x14:conditionalFormatting>
        <x14:conditionalFormatting xmlns:xm="http://schemas.microsoft.com/office/excel/2006/main">
          <x14:cfRule type="expression" priority="201" stopIfTrue="1" id="{0B7707F5-AD85-4986-9138-278210CC5E5D}">
            <xm:f>(60 * HOUR(AP13) + MINUTE(AP13)) &gt;(60 * HOUR(INDEX('1.Locations'!G2:G21,AK13 + 1)) +MINUTE(INDEX('1.Locations'!G2:G21,AK13 + 1)))</xm:f>
            <x14:dxf>
              <fill>
                <patternFill>
                  <bgColor indexed="52"/>
                </patternFill>
              </fill>
            </x14:dxf>
          </x14:cfRule>
          <xm:sqref>AP13</xm:sqref>
        </x14:conditionalFormatting>
        <x14:conditionalFormatting xmlns:xm="http://schemas.microsoft.com/office/excel/2006/main">
          <x14:cfRule type="expression" priority="202" stopIfTrue="1" id="{5861E5CA-4ECA-4E5B-9C42-F1DAF135C18E}">
            <xm:f>(60 * HOUR(AQ13) + MINUTE(AQ13)) &gt;(60 * HOUR(INDEX('1.Locations'!G2:G21,AK13 + 1)) +MINUTE(INDEX('1.Locations'!G2:G21,AK13 + 1)))</xm:f>
            <x14:dxf>
              <fill>
                <patternFill>
                  <bgColor indexed="52"/>
                </patternFill>
              </fill>
            </x14:dxf>
          </x14:cfRule>
          <xm:sqref>AQ13</xm:sqref>
        </x14:conditionalFormatting>
        <x14:conditionalFormatting xmlns:xm="http://schemas.microsoft.com/office/excel/2006/main">
          <x14:cfRule type="cellIs" priority="203" stopIfTrue="1" operator="lessThan" id="{0474CFF5-877F-4DB9-888F-065A9D37DA89}">
            <xm:f>INDEX('1.Locations'!F2:F21,AK14 + 1)</xm:f>
            <x14:dxf>
              <fill>
                <patternFill>
                  <bgColor indexed="52"/>
                </patternFill>
              </fill>
            </x14:dxf>
          </x14:cfRule>
          <xm:sqref>AP14</xm:sqref>
        </x14:conditionalFormatting>
        <x14:conditionalFormatting xmlns:xm="http://schemas.microsoft.com/office/excel/2006/main">
          <x14:cfRule type="expression" priority="204" stopIfTrue="1" id="{6DC17AD2-4150-4694-941E-7D0334DDEF0F}">
            <xm:f>(60 * HOUR(AP14) + MINUTE(AP14)) &gt;(60 * HOUR(INDEX('1.Locations'!G2:G21,AK14 + 1)) +MINUTE(INDEX('1.Locations'!G2:G21,AK14 + 1)))</xm:f>
            <x14:dxf>
              <fill>
                <patternFill>
                  <bgColor indexed="52"/>
                </patternFill>
              </fill>
            </x14:dxf>
          </x14:cfRule>
          <xm:sqref>AP14</xm:sqref>
        </x14:conditionalFormatting>
        <x14:conditionalFormatting xmlns:xm="http://schemas.microsoft.com/office/excel/2006/main">
          <x14:cfRule type="expression" priority="205" stopIfTrue="1" id="{54AB443B-FD8F-4870-97D9-6E47A7A272CD}">
            <xm:f>(60 * HOUR(AQ14) + MINUTE(AQ14)) &gt;(60 * HOUR(INDEX('1.Locations'!G2:G21,AK14 + 1)) +MINUTE(INDEX('1.Locations'!G2:G21,AK14 + 1)))</xm:f>
            <x14:dxf>
              <fill>
                <patternFill>
                  <bgColor indexed="52"/>
                </patternFill>
              </fill>
            </x14:dxf>
          </x14:cfRule>
          <xm:sqref>AQ14</xm:sqref>
        </x14:conditionalFormatting>
        <x14:conditionalFormatting xmlns:xm="http://schemas.microsoft.com/office/excel/2006/main">
          <x14:cfRule type="cellIs" priority="206" stopIfTrue="1" operator="lessThan" id="{1EA3E4CC-2910-45BA-BA3C-E768EFD8FF47}">
            <xm:f>INDEX('1.Locations'!F2:F21,AK15 + 1)</xm:f>
            <x14:dxf>
              <fill>
                <patternFill>
                  <bgColor indexed="52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expression" priority="207" stopIfTrue="1" id="{B95938E8-534F-43E6-8899-DD2921BB16EA}">
            <xm:f>(60 * HOUR(AP15) + MINUTE(AP15)) &gt;(60 * HOUR(INDEX('1.Locations'!G2:G21,AK15 + 1)) +MINUTE(INDEX('1.Locations'!G2:G21,AK15 + 1)))</xm:f>
            <x14:dxf>
              <fill>
                <patternFill>
                  <bgColor indexed="52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expression" priority="208" stopIfTrue="1" id="{439E6597-A517-4A33-ACD7-8F7FDB635CE0}">
            <xm:f>(60 * HOUR(AQ15) + MINUTE(AQ15)) &gt;(60 * HOUR(INDEX('1.Locations'!G2:G21,AK15 + 1)) +MINUTE(INDEX('1.Locations'!G2:G21,AK15 + 1)))</xm:f>
            <x14:dxf>
              <fill>
                <patternFill>
                  <bgColor indexed="52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cellIs" priority="209" stopIfTrue="1" operator="lessThan" id="{D1909B31-3D14-4774-B76D-68D01979C4B1}">
            <xm:f>INDEX('1.Locations'!F2:F21,AK16 + 1)</xm:f>
            <x14:dxf>
              <fill>
                <patternFill>
                  <bgColor indexed="52"/>
                </patternFill>
              </fill>
            </x14:dxf>
          </x14:cfRule>
          <xm:sqref>AP16</xm:sqref>
        </x14:conditionalFormatting>
        <x14:conditionalFormatting xmlns:xm="http://schemas.microsoft.com/office/excel/2006/main">
          <x14:cfRule type="expression" priority="210" stopIfTrue="1" id="{797366A6-7F26-4853-B5E2-F4EA7B9412FA}">
            <xm:f>(60 * HOUR(AP16) + MINUTE(AP16)) &gt;(60 * HOUR(INDEX('1.Locations'!G2:G21,AK16 + 1)) +MINUTE(INDEX('1.Locations'!G2:G21,AK16 + 1)))</xm:f>
            <x14:dxf>
              <fill>
                <patternFill>
                  <bgColor indexed="52"/>
                </patternFill>
              </fill>
            </x14:dxf>
          </x14:cfRule>
          <xm:sqref>AP16</xm:sqref>
        </x14:conditionalFormatting>
        <x14:conditionalFormatting xmlns:xm="http://schemas.microsoft.com/office/excel/2006/main">
          <x14:cfRule type="expression" priority="211" stopIfTrue="1" id="{2D93AC30-0585-4277-B171-113C773486C1}">
            <xm:f>(60 * HOUR(AQ16) + MINUTE(AQ16)) &gt;(60 * HOUR(INDEX('1.Locations'!G2:G21,AK16 + 1)) +MINUTE(INDEX('1.Locations'!G2:G21,AK16 + 1)))</xm:f>
            <x14:dxf>
              <fill>
                <patternFill>
                  <bgColor indexed="52"/>
                </patternFill>
              </fill>
            </x14:dxf>
          </x14:cfRule>
          <xm:sqref>AQ16</xm:sqref>
        </x14:conditionalFormatting>
        <x14:conditionalFormatting xmlns:xm="http://schemas.microsoft.com/office/excel/2006/main">
          <x14:cfRule type="cellIs" priority="212" stopIfTrue="1" operator="lessThan" id="{95AA2ED0-DB76-4A6D-98AE-F8AF65E5BE7D}">
            <xm:f>INDEX('1.Locations'!F2:F21,AK17 + 1)</xm:f>
            <x14:dxf>
              <fill>
                <patternFill>
                  <bgColor indexed="52"/>
                </patternFill>
              </fill>
            </x14:dxf>
          </x14:cfRule>
          <xm:sqref>AP17</xm:sqref>
        </x14:conditionalFormatting>
        <x14:conditionalFormatting xmlns:xm="http://schemas.microsoft.com/office/excel/2006/main">
          <x14:cfRule type="expression" priority="213" stopIfTrue="1" id="{D3949AB8-05CC-49F3-B94D-144AE1BBA4C0}">
            <xm:f>(60 * HOUR(AP17) + MINUTE(AP17)) &gt;(60 * HOUR(INDEX('1.Locations'!G2:G21,AK17 + 1)) +MINUTE(INDEX('1.Locations'!G2:G21,AK17 + 1)))</xm:f>
            <x14:dxf>
              <fill>
                <patternFill>
                  <bgColor indexed="52"/>
                </patternFill>
              </fill>
            </x14:dxf>
          </x14:cfRule>
          <xm:sqref>AP17</xm:sqref>
        </x14:conditionalFormatting>
        <x14:conditionalFormatting xmlns:xm="http://schemas.microsoft.com/office/excel/2006/main">
          <x14:cfRule type="expression" priority="214" stopIfTrue="1" id="{7C145966-AF1C-4C46-9CBB-0D71DC751EE9}">
            <xm:f>(60 * HOUR(AQ17) + MINUTE(AQ17)) &gt;(60 * HOUR(INDEX('1.Locations'!G2:G21,AK17 + 1)) +MINUTE(INDEX('1.Locations'!G2:G21,AK17 + 1)))</xm:f>
            <x14:dxf>
              <fill>
                <patternFill>
                  <bgColor indexed="52"/>
                </patternFill>
              </fill>
            </x14:dxf>
          </x14:cfRule>
          <xm:sqref>AQ17</xm:sqref>
        </x14:conditionalFormatting>
        <x14:conditionalFormatting xmlns:xm="http://schemas.microsoft.com/office/excel/2006/main">
          <x14:cfRule type="cellIs" priority="215" stopIfTrue="1" operator="lessThan" id="{182B9682-167D-4D57-BEDA-C6248632CAA0}">
            <xm:f>INDEX('1.Locations'!F2:F21,AK18 + 1)</xm:f>
            <x14:dxf>
              <fill>
                <patternFill>
                  <bgColor indexed="52"/>
                </patternFill>
              </fill>
            </x14:dxf>
          </x14:cfRule>
          <xm:sqref>AP18</xm:sqref>
        </x14:conditionalFormatting>
        <x14:conditionalFormatting xmlns:xm="http://schemas.microsoft.com/office/excel/2006/main">
          <x14:cfRule type="expression" priority="216" stopIfTrue="1" id="{891822B7-CFB9-4B91-861C-4E428E9B8ADA}">
            <xm:f>(60 * HOUR(AP18) + MINUTE(AP18)) &gt;(60 * HOUR(INDEX('1.Locations'!G2:G21,AK18 + 1)) +MINUTE(INDEX('1.Locations'!G2:G21,AK18 + 1)))</xm:f>
            <x14:dxf>
              <fill>
                <patternFill>
                  <bgColor indexed="52"/>
                </patternFill>
              </fill>
            </x14:dxf>
          </x14:cfRule>
          <xm:sqref>AP18</xm:sqref>
        </x14:conditionalFormatting>
        <x14:conditionalFormatting xmlns:xm="http://schemas.microsoft.com/office/excel/2006/main">
          <x14:cfRule type="expression" priority="217" stopIfTrue="1" id="{502658FB-43CD-4FA9-860A-804212DCF9C0}">
            <xm:f>(60 * HOUR(AQ18) + MINUTE(AQ18)) &gt;(60 * HOUR(INDEX('1.Locations'!G2:G21,AK18 + 1)) +MINUTE(INDEX('1.Locations'!G2:G21,AK18 + 1)))</xm:f>
            <x14:dxf>
              <fill>
                <patternFill>
                  <bgColor indexed="52"/>
                </patternFill>
              </fill>
            </x14:dxf>
          </x14:cfRule>
          <xm:sqref>AQ18</xm:sqref>
        </x14:conditionalFormatting>
        <x14:conditionalFormatting xmlns:xm="http://schemas.microsoft.com/office/excel/2006/main">
          <x14:cfRule type="cellIs" priority="218" stopIfTrue="1" operator="lessThan" id="{2D4D2887-032B-4A68-BA33-0D8C35C8B25E}">
            <xm:f>INDEX('1.Locations'!F2:F21,AK19 + 1)</xm:f>
            <x14:dxf>
              <fill>
                <patternFill>
                  <bgColor indexed="52"/>
                </patternFill>
              </fill>
            </x14:dxf>
          </x14:cfRule>
          <xm:sqref>AP19</xm:sqref>
        </x14:conditionalFormatting>
        <x14:conditionalFormatting xmlns:xm="http://schemas.microsoft.com/office/excel/2006/main">
          <x14:cfRule type="expression" priority="219" stopIfTrue="1" id="{FCD34401-1332-4669-8B89-11B9875AE383}">
            <xm:f>(60 * HOUR(AP19) + MINUTE(AP19)) &gt;(60 * HOUR(INDEX('1.Locations'!G2:G21,AK19 + 1)) +MINUTE(INDEX('1.Locations'!G2:G21,AK19 + 1)))</xm:f>
            <x14:dxf>
              <fill>
                <patternFill>
                  <bgColor indexed="52"/>
                </patternFill>
              </fill>
            </x14:dxf>
          </x14:cfRule>
          <xm:sqref>AP19</xm:sqref>
        </x14:conditionalFormatting>
        <x14:conditionalFormatting xmlns:xm="http://schemas.microsoft.com/office/excel/2006/main">
          <x14:cfRule type="expression" priority="220" stopIfTrue="1" id="{EEBF088E-2EDB-44D1-B4B5-62FE91B63876}">
            <xm:f>(60 * HOUR(AQ19) + MINUTE(AQ19)) &gt;(60 * HOUR(INDEX('1.Locations'!G2:G21,AK19 + 1)) +MINUTE(INDEX('1.Locations'!G2:G21,AK19 + 1)))</xm:f>
            <x14:dxf>
              <fill>
                <patternFill>
                  <bgColor indexed="52"/>
                </patternFill>
              </fill>
            </x14:dxf>
          </x14:cfRule>
          <xm:sqref>AQ19</xm:sqref>
        </x14:conditionalFormatting>
        <x14:conditionalFormatting xmlns:xm="http://schemas.microsoft.com/office/excel/2006/main">
          <x14:cfRule type="cellIs" priority="221" stopIfTrue="1" operator="lessThan" id="{84E99840-6492-4B8B-88B3-2765369AA31D}">
            <xm:f>INDEX('1.Locations'!F2:F21,AK20 + 1)</xm:f>
            <x14:dxf>
              <fill>
                <patternFill>
                  <bgColor indexed="52"/>
                </patternFill>
              </fill>
            </x14:dxf>
          </x14:cfRule>
          <xm:sqref>AP20</xm:sqref>
        </x14:conditionalFormatting>
        <x14:conditionalFormatting xmlns:xm="http://schemas.microsoft.com/office/excel/2006/main">
          <x14:cfRule type="expression" priority="222" stopIfTrue="1" id="{72E3E735-0A32-42A5-B020-FE471EB363F7}">
            <xm:f>(60 * HOUR(AP20) + MINUTE(AP20)) &gt;(60 * HOUR(INDEX('1.Locations'!G2:G21,AK20 + 1)) +MINUTE(INDEX('1.Locations'!G2:G21,AK20 + 1)))</xm:f>
            <x14:dxf>
              <fill>
                <patternFill>
                  <bgColor indexed="52"/>
                </patternFill>
              </fill>
            </x14:dxf>
          </x14:cfRule>
          <xm:sqref>AP20</xm:sqref>
        </x14:conditionalFormatting>
        <x14:conditionalFormatting xmlns:xm="http://schemas.microsoft.com/office/excel/2006/main">
          <x14:cfRule type="expression" priority="223" stopIfTrue="1" id="{D3C11D82-A446-43EA-8D6A-521AF99F9772}">
            <xm:f>(60 * HOUR(AQ20) + MINUTE(AQ20)) &gt;(60 * HOUR(INDEX('1.Locations'!G2:G21,AK20 + 1)) +MINUTE(INDEX('1.Locations'!G2:G21,AK20 + 1)))</xm:f>
            <x14:dxf>
              <fill>
                <patternFill>
                  <bgColor indexed="52"/>
                </patternFill>
              </fill>
            </x14:dxf>
          </x14:cfRule>
          <xm:sqref>AQ20</xm:sqref>
        </x14:conditionalFormatting>
        <x14:conditionalFormatting xmlns:xm="http://schemas.microsoft.com/office/excel/2006/main">
          <x14:cfRule type="cellIs" priority="224" stopIfTrue="1" operator="lessThan" id="{BAB9E68F-1541-47FF-9466-B8F9CEF475A4}">
            <xm:f>INDEX('1.Locations'!F2:F21,AK21 + 1)</xm:f>
            <x14:dxf>
              <fill>
                <patternFill>
                  <bgColor indexed="52"/>
                </patternFill>
              </fill>
            </x14:dxf>
          </x14:cfRule>
          <xm:sqref>AP21</xm:sqref>
        </x14:conditionalFormatting>
        <x14:conditionalFormatting xmlns:xm="http://schemas.microsoft.com/office/excel/2006/main">
          <x14:cfRule type="expression" priority="225" stopIfTrue="1" id="{B7A560F8-EC48-4BC6-A248-148201ECE04D}">
            <xm:f>(60 * HOUR(AP21) + MINUTE(AP21)) &gt;(60 * HOUR(INDEX('1.Locations'!G2:G21,AK21 + 1)) +MINUTE(INDEX('1.Locations'!G2:G21,AK21 + 1)))</xm:f>
            <x14:dxf>
              <fill>
                <patternFill>
                  <bgColor indexed="52"/>
                </patternFill>
              </fill>
            </x14:dxf>
          </x14:cfRule>
          <xm:sqref>AP21</xm:sqref>
        </x14:conditionalFormatting>
        <x14:conditionalFormatting xmlns:xm="http://schemas.microsoft.com/office/excel/2006/main">
          <x14:cfRule type="expression" priority="226" stopIfTrue="1" id="{EB7E3506-EEAC-4142-9382-3710D3B285B7}">
            <xm:f>(60 * HOUR(AQ21) + MINUTE(AQ21)) &gt;(60 * HOUR(INDEX('1.Locations'!G2:G21,AK21 + 1)) +MINUTE(INDEX('1.Locations'!G2:G21,AK21 + 1)))</xm:f>
            <x14:dxf>
              <fill>
                <patternFill>
                  <bgColor indexed="52"/>
                </patternFill>
              </fill>
            </x14:dxf>
          </x14:cfRule>
          <xm:sqref>AQ21</xm:sqref>
        </x14:conditionalFormatting>
        <x14:conditionalFormatting xmlns:xm="http://schemas.microsoft.com/office/excel/2006/main">
          <x14:cfRule type="cellIs" priority="227" stopIfTrue="1" operator="lessThan" id="{5A6F9D50-51BC-44A4-B18A-8294B0119CEE}">
            <xm:f>INDEX('1.Locations'!F2:F21,AK22 + 1)</xm:f>
            <x14:dxf>
              <fill>
                <patternFill>
                  <bgColor indexed="52"/>
                </patternFill>
              </fill>
            </x14:dxf>
          </x14:cfRule>
          <xm:sqref>AP22</xm:sqref>
        </x14:conditionalFormatting>
        <x14:conditionalFormatting xmlns:xm="http://schemas.microsoft.com/office/excel/2006/main">
          <x14:cfRule type="expression" priority="228" stopIfTrue="1" id="{B167083B-A1D2-45CC-B1E4-AA1007BEEDB9}">
            <xm:f>(60 * HOUR(AP22) + MINUTE(AP22)) &gt;(60 * HOUR(INDEX('1.Locations'!G2:G21,AK22 + 1)) +MINUTE(INDEX('1.Locations'!G2:G21,AK22 + 1)))</xm:f>
            <x14:dxf>
              <fill>
                <patternFill>
                  <bgColor indexed="52"/>
                </patternFill>
              </fill>
            </x14:dxf>
          </x14:cfRule>
          <xm:sqref>AP22</xm:sqref>
        </x14:conditionalFormatting>
        <x14:conditionalFormatting xmlns:xm="http://schemas.microsoft.com/office/excel/2006/main">
          <x14:cfRule type="expression" priority="229" stopIfTrue="1" id="{C41D8140-0043-430A-9ADA-DEE4CC674BF3}">
            <xm:f>(60 * HOUR(AQ22) + MINUTE(AQ22)) &gt;(60 * HOUR(INDEX('1.Locations'!G2:G21,AK22 + 1)) +MINUTE(INDEX('1.Locations'!G2:G21,AK22 + 1)))</xm:f>
            <x14:dxf>
              <fill>
                <patternFill>
                  <bgColor indexed="52"/>
                </patternFill>
              </fill>
            </x14:dxf>
          </x14:cfRule>
          <xm:sqref>AQ22</xm:sqref>
        </x14:conditionalFormatting>
        <x14:conditionalFormatting xmlns:xm="http://schemas.microsoft.com/office/excel/2006/main">
          <x14:cfRule type="cellIs" priority="230" stopIfTrue="1" operator="lessThan" id="{C1E1827E-46D7-4C7B-ABFA-8EADFE097EFB}">
            <xm:f>INDEX('1.Locations'!F2:F21,AK23 + 1)</xm:f>
            <x14:dxf>
              <fill>
                <patternFill>
                  <bgColor indexed="52"/>
                </patternFill>
              </fill>
            </x14:dxf>
          </x14:cfRule>
          <xm:sqref>AP23</xm:sqref>
        </x14:conditionalFormatting>
        <x14:conditionalFormatting xmlns:xm="http://schemas.microsoft.com/office/excel/2006/main">
          <x14:cfRule type="expression" priority="231" stopIfTrue="1" id="{31AA1BC1-72CD-484D-B934-E7C3C1510808}">
            <xm:f>(60 * HOUR(AP23) + MINUTE(AP23)) &gt;(60 * HOUR(INDEX('1.Locations'!G2:G21,AK23 + 1)) +MINUTE(INDEX('1.Locations'!G2:G21,AK23 + 1)))</xm:f>
            <x14:dxf>
              <fill>
                <patternFill>
                  <bgColor indexed="52"/>
                </patternFill>
              </fill>
            </x14:dxf>
          </x14:cfRule>
          <xm:sqref>AP23</xm:sqref>
        </x14:conditionalFormatting>
        <x14:conditionalFormatting xmlns:xm="http://schemas.microsoft.com/office/excel/2006/main">
          <x14:cfRule type="expression" priority="232" stopIfTrue="1" id="{EF8890FA-4BC8-4227-B43A-2FC7C34E582F}">
            <xm:f>(60 * HOUR(AQ23) + MINUTE(AQ23)) &gt;(60 * HOUR(INDEX('1.Locations'!G2:G21,AK23 + 1)) +MINUTE(INDEX('1.Locations'!G2:G21,AK23 + 1)))</xm:f>
            <x14:dxf>
              <fill>
                <patternFill>
                  <bgColor indexed="52"/>
                </patternFill>
              </fill>
            </x14:dxf>
          </x14:cfRule>
          <xm:sqref>AQ23</xm:sqref>
        </x14:conditionalFormatting>
        <x14:conditionalFormatting xmlns:xm="http://schemas.microsoft.com/office/excel/2006/main">
          <x14:cfRule type="cellIs" priority="233" stopIfTrue="1" operator="lessThan" id="{5D6C2AA9-FBA9-4FA4-85C2-6D5A8D0C0084}">
            <xm:f>INDEX('1.Locations'!F2:F21,AK24 + 1)</xm:f>
            <x14:dxf>
              <fill>
                <patternFill>
                  <bgColor indexed="52"/>
                </patternFill>
              </fill>
            </x14:dxf>
          </x14:cfRule>
          <xm:sqref>AP24</xm:sqref>
        </x14:conditionalFormatting>
        <x14:conditionalFormatting xmlns:xm="http://schemas.microsoft.com/office/excel/2006/main">
          <x14:cfRule type="expression" priority="234" stopIfTrue="1" id="{ABDE23D7-1C22-41E8-ABDA-D7299CD03AFB}">
            <xm:f>(60 * HOUR(AP24) + MINUTE(AP24)) &gt;(60 * HOUR(INDEX('1.Locations'!G2:G21,AK24 + 1)) +MINUTE(INDEX('1.Locations'!G2:G21,AK24 + 1)))</xm:f>
            <x14:dxf>
              <fill>
                <patternFill>
                  <bgColor indexed="52"/>
                </patternFill>
              </fill>
            </x14:dxf>
          </x14:cfRule>
          <xm:sqref>AP24</xm:sqref>
        </x14:conditionalFormatting>
        <x14:conditionalFormatting xmlns:xm="http://schemas.microsoft.com/office/excel/2006/main">
          <x14:cfRule type="expression" priority="235" stopIfTrue="1" id="{317DA439-1AFE-4316-96BC-C8592C52D96C}">
            <xm:f>(60 * HOUR(AQ24) + MINUTE(AQ24)) &gt;(60 * HOUR(INDEX('1.Locations'!G2:G21,AK24 + 1)) +MINUTE(INDEX('1.Locations'!G2:G21,AK24 + 1)))</xm:f>
            <x14:dxf>
              <fill>
                <patternFill>
                  <bgColor indexed="52"/>
                </patternFill>
              </fill>
            </x14:dxf>
          </x14:cfRule>
          <xm:sqref>AQ24</xm:sqref>
        </x14:conditionalFormatting>
        <x14:conditionalFormatting xmlns:xm="http://schemas.microsoft.com/office/excel/2006/main">
          <x14:cfRule type="cellIs" priority="236" stopIfTrue="1" operator="lessThan" id="{56598E4C-AB39-4DA7-B9A3-5673C551ECF3}">
            <xm:f>INDEX('1.Locations'!F2:F21,AK25 + 1)</xm:f>
            <x14:dxf>
              <fill>
                <patternFill>
                  <bgColor indexed="52"/>
                </patternFill>
              </fill>
            </x14:dxf>
          </x14:cfRule>
          <xm:sqref>AP25</xm:sqref>
        </x14:conditionalFormatting>
        <x14:conditionalFormatting xmlns:xm="http://schemas.microsoft.com/office/excel/2006/main">
          <x14:cfRule type="expression" priority="237" stopIfTrue="1" id="{717715BD-5731-43C5-A7D2-AEC8508B78D2}">
            <xm:f>(60 * HOUR(AP25) + MINUTE(AP25)) &gt;(60 * HOUR(INDEX('1.Locations'!G2:G21,AK25 + 1)) +MINUTE(INDEX('1.Locations'!G2:G21,AK25 + 1)))</xm:f>
            <x14:dxf>
              <fill>
                <patternFill>
                  <bgColor indexed="52"/>
                </patternFill>
              </fill>
            </x14:dxf>
          </x14:cfRule>
          <xm:sqref>AP25</xm:sqref>
        </x14:conditionalFormatting>
        <x14:conditionalFormatting xmlns:xm="http://schemas.microsoft.com/office/excel/2006/main">
          <x14:cfRule type="expression" priority="238" stopIfTrue="1" id="{08A3215E-94B4-4CFC-AD55-CB0BCBDE8BA9}">
            <xm:f>(60 * HOUR(AQ25) + MINUTE(AQ25)) &gt;(60 * HOUR(INDEX('1.Locations'!G2:G21,AK25 + 1)) +MINUTE(INDEX('1.Locations'!G2:G21,AK25 + 1)))</xm:f>
            <x14:dxf>
              <fill>
                <patternFill>
                  <bgColor indexed="52"/>
                </patternFill>
              </fill>
            </x14:dxf>
          </x14:cfRule>
          <xm:sqref>AQ25</xm:sqref>
        </x14:conditionalFormatting>
        <x14:conditionalFormatting xmlns:xm="http://schemas.microsoft.com/office/excel/2006/main">
          <x14:cfRule type="cellIs" priority="239" stopIfTrue="1" operator="greaterThan" id="{102A3F94-E02F-49F5-8DE6-D13E59E52569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AN6:AN25</xm:sqref>
        </x14:conditionalFormatting>
        <x14:conditionalFormatting xmlns:xm="http://schemas.microsoft.com/office/excel/2006/main">
          <x14:cfRule type="cellIs" priority="240" stopIfTrue="1" operator="greaterThan" id="{703F6EED-AE4E-4C50-BC29-413EAEFEB247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AX6:AX25</xm:sqref>
        </x14:conditionalFormatting>
        <x14:conditionalFormatting xmlns:xm="http://schemas.microsoft.com/office/excel/2006/main">
          <x14:cfRule type="cellIs" priority="242" stopIfTrue="1" operator="greaterThan" id="{CF15B821-9508-4671-A7ED-79D5057BAD47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AO6:AO25</xm:sqref>
        </x14:conditionalFormatting>
        <x14:conditionalFormatting xmlns:xm="http://schemas.microsoft.com/office/excel/2006/main">
          <x14:cfRule type="cellIs" priority="243" stopIfTrue="1" operator="greaterThan" id="{ADBA2FC1-ECF4-425A-993B-F15901C54F99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AR6:AR25</xm:sqref>
        </x14:conditionalFormatting>
        <x14:conditionalFormatting xmlns:xm="http://schemas.microsoft.com/office/excel/2006/main">
          <x14:cfRule type="expression" priority="245" stopIfTrue="1" id="{6D3546B2-AF4B-44BF-8BC5-3A542FECDE1A}">
            <xm:f>(60 * HOUR(BG5) + MINUTE(BG5)) &gt;(60 * HOUR(INDEX('1.Locations'!G2:G21,BB5 + 1)) +MINUTE(INDEX('1.Locations'!G2:G21,BB5 + 1)))</xm:f>
            <x14:dxf>
              <fill>
                <patternFill>
                  <bgColor indexed="52"/>
                </patternFill>
              </fill>
            </x14:dxf>
          </x14:cfRule>
          <xm:sqref>BG5</xm:sqref>
        </x14:conditionalFormatting>
        <x14:conditionalFormatting xmlns:xm="http://schemas.microsoft.com/office/excel/2006/main">
          <x14:cfRule type="expression" priority="246" stopIfTrue="1" id="{4696E736-BEA7-434E-B612-60731FCE5053}">
            <xm:f>(60 * HOUR(BH5) + MINUTE(BH5)) &gt;(60 * HOUR(INDEX('1.Locations'!G2:G21,BB5 + 1)) +MINUTE(INDEX('1.Locations'!G2:G21,BB5 + 1)))</xm:f>
            <x14:dxf>
              <fill>
                <patternFill>
                  <bgColor indexed="52"/>
                </patternFill>
              </fill>
            </x14:dxf>
          </x14:cfRule>
          <xm:sqref>BH5</xm:sqref>
        </x14:conditionalFormatting>
        <x14:conditionalFormatting xmlns:xm="http://schemas.microsoft.com/office/excel/2006/main">
          <x14:cfRule type="cellIs" priority="247" stopIfTrue="1" operator="lessThan" id="{37355863-5F06-456A-BA6C-E349F8846CA0}">
            <xm:f>INDEX('1.Locations'!F2:F21,BB6 + 1)</xm:f>
            <x14:dxf>
              <fill>
                <patternFill>
                  <bgColor indexed="52"/>
                </patternFill>
              </fill>
            </x14:dxf>
          </x14:cfRule>
          <xm:sqref>BG6</xm:sqref>
        </x14:conditionalFormatting>
        <x14:conditionalFormatting xmlns:xm="http://schemas.microsoft.com/office/excel/2006/main">
          <x14:cfRule type="expression" priority="248" stopIfTrue="1" id="{33619FD6-997E-46FD-AF96-FBC1C9A19B81}">
            <xm:f>(60 * HOUR(BG6) + MINUTE(BG6)) &gt;(60 * HOUR(INDEX('1.Locations'!G2:G21,BB6 + 1)) +MINUTE(INDEX('1.Locations'!G2:G21,BB6 + 1)))</xm:f>
            <x14:dxf>
              <fill>
                <patternFill>
                  <bgColor indexed="52"/>
                </patternFill>
              </fill>
            </x14:dxf>
          </x14:cfRule>
          <xm:sqref>BG6</xm:sqref>
        </x14:conditionalFormatting>
        <x14:conditionalFormatting xmlns:xm="http://schemas.microsoft.com/office/excel/2006/main">
          <x14:cfRule type="expression" priority="249" stopIfTrue="1" id="{702C8F5E-A5C5-4C47-8A34-BAB336474F16}">
            <xm:f>(60 * HOUR(BH6) + MINUTE(BH6)) &gt;(60 * HOUR(INDEX('1.Locations'!G2:G21,BB6 + 1)) +MINUTE(INDEX('1.Locations'!G2:G21,BB6 + 1)))</xm:f>
            <x14:dxf>
              <fill>
                <patternFill>
                  <bgColor indexed="52"/>
                </patternFill>
              </fill>
            </x14:dxf>
          </x14:cfRule>
          <xm:sqref>BH6</xm:sqref>
        </x14:conditionalFormatting>
        <x14:conditionalFormatting xmlns:xm="http://schemas.microsoft.com/office/excel/2006/main">
          <x14:cfRule type="cellIs" priority="250" stopIfTrue="1" operator="lessThan" id="{BEA0D80C-D665-4EF2-B50B-42297AA0B789}">
            <xm:f>INDEX('1.Locations'!F2:F21,BB7 + 1)</xm:f>
            <x14:dxf>
              <fill>
                <patternFill>
                  <bgColor indexed="52"/>
                </patternFill>
              </fill>
            </x14:dxf>
          </x14:cfRule>
          <xm:sqref>BG7</xm:sqref>
        </x14:conditionalFormatting>
        <x14:conditionalFormatting xmlns:xm="http://schemas.microsoft.com/office/excel/2006/main">
          <x14:cfRule type="expression" priority="251" stopIfTrue="1" id="{A0BDAA39-6E4C-4931-B158-4BC60AC34771}">
            <xm:f>(60 * HOUR(BG7) + MINUTE(BG7)) &gt;(60 * HOUR(INDEX('1.Locations'!G2:G21,BB7 + 1)) +MINUTE(INDEX('1.Locations'!G2:G21,BB7 + 1)))</xm:f>
            <x14:dxf>
              <fill>
                <patternFill>
                  <bgColor indexed="52"/>
                </patternFill>
              </fill>
            </x14:dxf>
          </x14:cfRule>
          <xm:sqref>BG7</xm:sqref>
        </x14:conditionalFormatting>
        <x14:conditionalFormatting xmlns:xm="http://schemas.microsoft.com/office/excel/2006/main">
          <x14:cfRule type="expression" priority="252" stopIfTrue="1" id="{3EC35D66-864B-4E52-B02C-E52E33A58189}">
            <xm:f>(60 * HOUR(BH7) + MINUTE(BH7)) &gt;(60 * HOUR(INDEX('1.Locations'!G2:G21,BB7 + 1)) +MINUTE(INDEX('1.Locations'!G2:G21,BB7 + 1)))</xm:f>
            <x14:dxf>
              <fill>
                <patternFill>
                  <bgColor indexed="52"/>
                </patternFill>
              </fill>
            </x14:dxf>
          </x14:cfRule>
          <xm:sqref>BH7</xm:sqref>
        </x14:conditionalFormatting>
        <x14:conditionalFormatting xmlns:xm="http://schemas.microsoft.com/office/excel/2006/main">
          <x14:cfRule type="cellIs" priority="253" stopIfTrue="1" operator="lessThan" id="{643A53CC-D2AC-48E3-8664-9778E248EDA7}">
            <xm:f>INDEX('1.Locations'!F2:F21,BB8 + 1)</xm:f>
            <x14:dxf>
              <fill>
                <patternFill>
                  <bgColor indexed="52"/>
                </patternFill>
              </fill>
            </x14:dxf>
          </x14:cfRule>
          <xm:sqref>BG8</xm:sqref>
        </x14:conditionalFormatting>
        <x14:conditionalFormatting xmlns:xm="http://schemas.microsoft.com/office/excel/2006/main">
          <x14:cfRule type="expression" priority="254" stopIfTrue="1" id="{9D077577-7445-4695-B476-70C43144EF66}">
            <xm:f>(60 * HOUR(BG8) + MINUTE(BG8)) &gt;(60 * HOUR(INDEX('1.Locations'!G2:G21,BB8 + 1)) +MINUTE(INDEX('1.Locations'!G2:G21,BB8 + 1)))</xm:f>
            <x14:dxf>
              <fill>
                <patternFill>
                  <bgColor indexed="52"/>
                </patternFill>
              </fill>
            </x14:dxf>
          </x14:cfRule>
          <xm:sqref>BG8</xm:sqref>
        </x14:conditionalFormatting>
        <x14:conditionalFormatting xmlns:xm="http://schemas.microsoft.com/office/excel/2006/main">
          <x14:cfRule type="expression" priority="255" stopIfTrue="1" id="{8AFD71CB-EC2B-4922-AFAC-A24F1802D22C}">
            <xm:f>(60 * HOUR(BH8) + MINUTE(BH8)) &gt;(60 * HOUR(INDEX('1.Locations'!G2:G21,BB8 + 1)) +MINUTE(INDEX('1.Locations'!G2:G21,BB8 + 1)))</xm:f>
            <x14:dxf>
              <fill>
                <patternFill>
                  <bgColor indexed="52"/>
                </patternFill>
              </fill>
            </x14:dxf>
          </x14:cfRule>
          <xm:sqref>BH8</xm:sqref>
        </x14:conditionalFormatting>
        <x14:conditionalFormatting xmlns:xm="http://schemas.microsoft.com/office/excel/2006/main">
          <x14:cfRule type="cellIs" priority="256" stopIfTrue="1" operator="lessThan" id="{44DA8E08-052E-4181-B104-4E3139DEB0CF}">
            <xm:f>INDEX('1.Locations'!F2:F21,BB9 + 1)</xm:f>
            <x14:dxf>
              <fill>
                <patternFill>
                  <bgColor indexed="52"/>
                </patternFill>
              </fill>
            </x14:dxf>
          </x14:cfRule>
          <xm:sqref>BG9</xm:sqref>
        </x14:conditionalFormatting>
        <x14:conditionalFormatting xmlns:xm="http://schemas.microsoft.com/office/excel/2006/main">
          <x14:cfRule type="expression" priority="257" stopIfTrue="1" id="{CF1110AF-7CFE-4FD6-AAC3-508B36733F8C}">
            <xm:f>(60 * HOUR(BG9) + MINUTE(BG9)) &gt;(60 * HOUR(INDEX('1.Locations'!G2:G21,BB9 + 1)) +MINUTE(INDEX('1.Locations'!G2:G21,BB9 + 1)))</xm:f>
            <x14:dxf>
              <fill>
                <patternFill>
                  <bgColor indexed="52"/>
                </patternFill>
              </fill>
            </x14:dxf>
          </x14:cfRule>
          <xm:sqref>BG9</xm:sqref>
        </x14:conditionalFormatting>
        <x14:conditionalFormatting xmlns:xm="http://schemas.microsoft.com/office/excel/2006/main">
          <x14:cfRule type="expression" priority="258" stopIfTrue="1" id="{6EAB647B-508B-4F9F-ACA2-B427EBB8AC13}">
            <xm:f>(60 * HOUR(BH9) + MINUTE(BH9)) &gt;(60 * HOUR(INDEX('1.Locations'!G2:G21,BB9 + 1)) +MINUTE(INDEX('1.Locations'!G2:G21,BB9 + 1)))</xm:f>
            <x14:dxf>
              <fill>
                <patternFill>
                  <bgColor indexed="52"/>
                </patternFill>
              </fill>
            </x14:dxf>
          </x14:cfRule>
          <xm:sqref>BH9</xm:sqref>
        </x14:conditionalFormatting>
        <x14:conditionalFormatting xmlns:xm="http://schemas.microsoft.com/office/excel/2006/main">
          <x14:cfRule type="cellIs" priority="259" stopIfTrue="1" operator="lessThan" id="{252222A5-8E83-4767-8C28-37091A1D8D95}">
            <xm:f>INDEX('1.Locations'!F2:F21,BB10 + 1)</xm:f>
            <x14:dxf>
              <fill>
                <patternFill>
                  <bgColor indexed="52"/>
                </patternFill>
              </fill>
            </x14:dxf>
          </x14:cfRule>
          <xm:sqref>BG10</xm:sqref>
        </x14:conditionalFormatting>
        <x14:conditionalFormatting xmlns:xm="http://schemas.microsoft.com/office/excel/2006/main">
          <x14:cfRule type="expression" priority="260" stopIfTrue="1" id="{937E3AC0-8A55-4A05-89A5-D9CAE029315D}">
            <xm:f>(60 * HOUR(BG10) + MINUTE(BG10)) &gt;(60 * HOUR(INDEX('1.Locations'!G2:G21,BB10 + 1)) +MINUTE(INDEX('1.Locations'!G2:G21,BB10 + 1)))</xm:f>
            <x14:dxf>
              <fill>
                <patternFill>
                  <bgColor indexed="52"/>
                </patternFill>
              </fill>
            </x14:dxf>
          </x14:cfRule>
          <xm:sqref>BG10</xm:sqref>
        </x14:conditionalFormatting>
        <x14:conditionalFormatting xmlns:xm="http://schemas.microsoft.com/office/excel/2006/main">
          <x14:cfRule type="expression" priority="261" stopIfTrue="1" id="{09A981DB-616E-49F6-93E4-CC582A677667}">
            <xm:f>(60 * HOUR(BH10) + MINUTE(BH10)) &gt;(60 * HOUR(INDEX('1.Locations'!G2:G21,BB10 + 1)) +MINUTE(INDEX('1.Locations'!G2:G21,BB10 + 1)))</xm:f>
            <x14:dxf>
              <fill>
                <patternFill>
                  <bgColor indexed="52"/>
                </patternFill>
              </fill>
            </x14:dxf>
          </x14:cfRule>
          <xm:sqref>BH10</xm:sqref>
        </x14:conditionalFormatting>
        <x14:conditionalFormatting xmlns:xm="http://schemas.microsoft.com/office/excel/2006/main">
          <x14:cfRule type="cellIs" priority="262" stopIfTrue="1" operator="lessThan" id="{70B8E018-31BB-4133-B054-7C7504134F5C}">
            <xm:f>INDEX('1.Locations'!F2:F21,BB11 + 1)</xm:f>
            <x14:dxf>
              <fill>
                <patternFill>
                  <bgColor indexed="52"/>
                </patternFill>
              </fill>
            </x14:dxf>
          </x14:cfRule>
          <xm:sqref>BG11</xm:sqref>
        </x14:conditionalFormatting>
        <x14:conditionalFormatting xmlns:xm="http://schemas.microsoft.com/office/excel/2006/main">
          <x14:cfRule type="expression" priority="263" stopIfTrue="1" id="{2E04174C-D3CE-4EA9-AA19-404C650F1367}">
            <xm:f>(60 * HOUR(BG11) + MINUTE(BG11)) &gt;(60 * HOUR(INDEX('1.Locations'!G2:G21,BB11 + 1)) +MINUTE(INDEX('1.Locations'!G2:G21,BB11 + 1)))</xm:f>
            <x14:dxf>
              <fill>
                <patternFill>
                  <bgColor indexed="52"/>
                </patternFill>
              </fill>
            </x14:dxf>
          </x14:cfRule>
          <xm:sqref>BG11</xm:sqref>
        </x14:conditionalFormatting>
        <x14:conditionalFormatting xmlns:xm="http://schemas.microsoft.com/office/excel/2006/main">
          <x14:cfRule type="expression" priority="264" stopIfTrue="1" id="{BC7F5671-2A0B-4CA9-8B3B-9303E2887152}">
            <xm:f>(60 * HOUR(BH11) + MINUTE(BH11)) &gt;(60 * HOUR(INDEX('1.Locations'!G2:G21,BB11 + 1)) +MINUTE(INDEX('1.Locations'!G2:G21,BB11 + 1)))</xm:f>
            <x14:dxf>
              <fill>
                <patternFill>
                  <bgColor indexed="52"/>
                </patternFill>
              </fill>
            </x14:dxf>
          </x14:cfRule>
          <xm:sqref>BH11</xm:sqref>
        </x14:conditionalFormatting>
        <x14:conditionalFormatting xmlns:xm="http://schemas.microsoft.com/office/excel/2006/main">
          <x14:cfRule type="cellIs" priority="265" stopIfTrue="1" operator="lessThan" id="{698EBAF2-3611-4E77-B617-5E027B01C187}">
            <xm:f>INDEX('1.Locations'!F2:F21,BB12 + 1)</xm:f>
            <x14:dxf>
              <fill>
                <patternFill>
                  <bgColor indexed="52"/>
                </patternFill>
              </fill>
            </x14:dxf>
          </x14:cfRule>
          <xm:sqref>BG12</xm:sqref>
        </x14:conditionalFormatting>
        <x14:conditionalFormatting xmlns:xm="http://schemas.microsoft.com/office/excel/2006/main">
          <x14:cfRule type="expression" priority="266" stopIfTrue="1" id="{197DC191-4854-4246-B7B6-BAFE52AC4CDF}">
            <xm:f>(60 * HOUR(BG12) + MINUTE(BG12)) &gt;(60 * HOUR(INDEX('1.Locations'!G2:G21,BB12 + 1)) +MINUTE(INDEX('1.Locations'!G2:G21,BB12 + 1)))</xm:f>
            <x14:dxf>
              <fill>
                <patternFill>
                  <bgColor indexed="52"/>
                </patternFill>
              </fill>
            </x14:dxf>
          </x14:cfRule>
          <xm:sqref>BG12</xm:sqref>
        </x14:conditionalFormatting>
        <x14:conditionalFormatting xmlns:xm="http://schemas.microsoft.com/office/excel/2006/main">
          <x14:cfRule type="expression" priority="267" stopIfTrue="1" id="{8A641057-8B8F-4888-A00A-2B2965CA4D58}">
            <xm:f>(60 * HOUR(BH12) + MINUTE(BH12)) &gt;(60 * HOUR(INDEX('1.Locations'!G2:G21,BB12 + 1)) +MINUTE(INDEX('1.Locations'!G2:G21,BB12 + 1)))</xm:f>
            <x14:dxf>
              <fill>
                <patternFill>
                  <bgColor indexed="52"/>
                </patternFill>
              </fill>
            </x14:dxf>
          </x14:cfRule>
          <xm:sqref>BH12</xm:sqref>
        </x14:conditionalFormatting>
        <x14:conditionalFormatting xmlns:xm="http://schemas.microsoft.com/office/excel/2006/main">
          <x14:cfRule type="cellIs" priority="268" stopIfTrue="1" operator="lessThan" id="{838BCB76-2686-4460-9688-C4B11042B4C0}">
            <xm:f>INDEX('1.Locations'!F2:F21,BB13 + 1)</xm:f>
            <x14:dxf>
              <fill>
                <patternFill>
                  <bgColor indexed="52"/>
                </patternFill>
              </fill>
            </x14:dxf>
          </x14:cfRule>
          <xm:sqref>BG13</xm:sqref>
        </x14:conditionalFormatting>
        <x14:conditionalFormatting xmlns:xm="http://schemas.microsoft.com/office/excel/2006/main">
          <x14:cfRule type="expression" priority="269" stopIfTrue="1" id="{9CAC8F95-EEE8-43B7-B763-DFDE56A58EF7}">
            <xm:f>(60 * HOUR(BG13) + MINUTE(BG13)) &gt;(60 * HOUR(INDEX('1.Locations'!G2:G21,BB13 + 1)) +MINUTE(INDEX('1.Locations'!G2:G21,BB13 + 1)))</xm:f>
            <x14:dxf>
              <fill>
                <patternFill>
                  <bgColor indexed="52"/>
                </patternFill>
              </fill>
            </x14:dxf>
          </x14:cfRule>
          <xm:sqref>BG13</xm:sqref>
        </x14:conditionalFormatting>
        <x14:conditionalFormatting xmlns:xm="http://schemas.microsoft.com/office/excel/2006/main">
          <x14:cfRule type="expression" priority="270" stopIfTrue="1" id="{114CAF67-07FF-4835-A233-6CF1D4B03824}">
            <xm:f>(60 * HOUR(BH13) + MINUTE(BH13)) &gt;(60 * HOUR(INDEX('1.Locations'!G2:G21,BB13 + 1)) +MINUTE(INDEX('1.Locations'!G2:G21,BB13 + 1)))</xm:f>
            <x14:dxf>
              <fill>
                <patternFill>
                  <bgColor indexed="52"/>
                </patternFill>
              </fill>
            </x14:dxf>
          </x14:cfRule>
          <xm:sqref>BH13</xm:sqref>
        </x14:conditionalFormatting>
        <x14:conditionalFormatting xmlns:xm="http://schemas.microsoft.com/office/excel/2006/main">
          <x14:cfRule type="cellIs" priority="271" stopIfTrue="1" operator="lessThan" id="{9CAD1775-E989-42BB-BFDB-C70286F49A1E}">
            <xm:f>INDEX('1.Locations'!F2:F21,BB14 + 1)</xm:f>
            <x14:dxf>
              <fill>
                <patternFill>
                  <bgColor indexed="52"/>
                </patternFill>
              </fill>
            </x14:dxf>
          </x14:cfRule>
          <xm:sqref>BG14</xm:sqref>
        </x14:conditionalFormatting>
        <x14:conditionalFormatting xmlns:xm="http://schemas.microsoft.com/office/excel/2006/main">
          <x14:cfRule type="expression" priority="272" stopIfTrue="1" id="{C55758CA-93AD-4200-9219-4FA03A260EA2}">
            <xm:f>(60 * HOUR(BG14) + MINUTE(BG14)) &gt;(60 * HOUR(INDEX('1.Locations'!G2:G21,BB14 + 1)) +MINUTE(INDEX('1.Locations'!G2:G21,BB14 + 1)))</xm:f>
            <x14:dxf>
              <fill>
                <patternFill>
                  <bgColor indexed="52"/>
                </patternFill>
              </fill>
            </x14:dxf>
          </x14:cfRule>
          <xm:sqref>BG14</xm:sqref>
        </x14:conditionalFormatting>
        <x14:conditionalFormatting xmlns:xm="http://schemas.microsoft.com/office/excel/2006/main">
          <x14:cfRule type="expression" priority="273" stopIfTrue="1" id="{0A64D41C-88CC-40D9-9506-B663641E6C29}">
            <xm:f>(60 * HOUR(BH14) + MINUTE(BH14)) &gt;(60 * HOUR(INDEX('1.Locations'!G2:G21,BB14 + 1)) +MINUTE(INDEX('1.Locations'!G2:G21,BB14 + 1)))</xm:f>
            <x14:dxf>
              <fill>
                <patternFill>
                  <bgColor indexed="52"/>
                </patternFill>
              </fill>
            </x14:dxf>
          </x14:cfRule>
          <xm:sqref>BH14</xm:sqref>
        </x14:conditionalFormatting>
        <x14:conditionalFormatting xmlns:xm="http://schemas.microsoft.com/office/excel/2006/main">
          <x14:cfRule type="cellIs" priority="274" stopIfTrue="1" operator="lessThan" id="{6434AAFD-E28C-4B22-A788-251687E4949C}">
            <xm:f>INDEX('1.Locations'!F2:F21,BB15 + 1)</xm:f>
            <x14:dxf>
              <fill>
                <patternFill>
                  <bgColor indexed="52"/>
                </patternFill>
              </fill>
            </x14:dxf>
          </x14:cfRule>
          <xm:sqref>BG15</xm:sqref>
        </x14:conditionalFormatting>
        <x14:conditionalFormatting xmlns:xm="http://schemas.microsoft.com/office/excel/2006/main">
          <x14:cfRule type="expression" priority="275" stopIfTrue="1" id="{52D8A92C-E163-49E4-AEEE-9E86E080AD45}">
            <xm:f>(60 * HOUR(BG15) + MINUTE(BG15)) &gt;(60 * HOUR(INDEX('1.Locations'!G2:G21,BB15 + 1)) +MINUTE(INDEX('1.Locations'!G2:G21,BB15 + 1)))</xm:f>
            <x14:dxf>
              <fill>
                <patternFill>
                  <bgColor indexed="52"/>
                </patternFill>
              </fill>
            </x14:dxf>
          </x14:cfRule>
          <xm:sqref>BG15</xm:sqref>
        </x14:conditionalFormatting>
        <x14:conditionalFormatting xmlns:xm="http://schemas.microsoft.com/office/excel/2006/main">
          <x14:cfRule type="expression" priority="276" stopIfTrue="1" id="{FF1B0C82-BEF5-41D6-9CC8-28117519B636}">
            <xm:f>(60 * HOUR(BH15) + MINUTE(BH15)) &gt;(60 * HOUR(INDEX('1.Locations'!G2:G21,BB15 + 1)) +MINUTE(INDEX('1.Locations'!G2:G21,BB15 + 1)))</xm:f>
            <x14:dxf>
              <fill>
                <patternFill>
                  <bgColor indexed="52"/>
                </patternFill>
              </fill>
            </x14:dxf>
          </x14:cfRule>
          <xm:sqref>BH15</xm:sqref>
        </x14:conditionalFormatting>
        <x14:conditionalFormatting xmlns:xm="http://schemas.microsoft.com/office/excel/2006/main">
          <x14:cfRule type="cellIs" priority="277" stopIfTrue="1" operator="lessThan" id="{E0E0A0EF-3E15-4848-8799-4BAD7C3BB2F9}">
            <xm:f>INDEX('1.Locations'!F2:F21,BB16 + 1)</xm:f>
            <x14:dxf>
              <fill>
                <patternFill>
                  <bgColor indexed="52"/>
                </patternFill>
              </fill>
            </x14:dxf>
          </x14:cfRule>
          <xm:sqref>BG16</xm:sqref>
        </x14:conditionalFormatting>
        <x14:conditionalFormatting xmlns:xm="http://schemas.microsoft.com/office/excel/2006/main">
          <x14:cfRule type="expression" priority="278" stopIfTrue="1" id="{CFB0845B-2139-4D78-898D-E9FE5A7DBE29}">
            <xm:f>(60 * HOUR(BG16) + MINUTE(BG16)) &gt;(60 * HOUR(INDEX('1.Locations'!G2:G21,BB16 + 1)) +MINUTE(INDEX('1.Locations'!G2:G21,BB16 + 1)))</xm:f>
            <x14:dxf>
              <fill>
                <patternFill>
                  <bgColor indexed="52"/>
                </patternFill>
              </fill>
            </x14:dxf>
          </x14:cfRule>
          <xm:sqref>BG16</xm:sqref>
        </x14:conditionalFormatting>
        <x14:conditionalFormatting xmlns:xm="http://schemas.microsoft.com/office/excel/2006/main">
          <x14:cfRule type="expression" priority="279" stopIfTrue="1" id="{126E74BF-DC85-415D-95B3-D05172DE967B}">
            <xm:f>(60 * HOUR(BH16) + MINUTE(BH16)) &gt;(60 * HOUR(INDEX('1.Locations'!G2:G21,BB16 + 1)) +MINUTE(INDEX('1.Locations'!G2:G21,BB16 + 1)))</xm:f>
            <x14:dxf>
              <fill>
                <patternFill>
                  <bgColor indexed="52"/>
                </patternFill>
              </fill>
            </x14:dxf>
          </x14:cfRule>
          <xm:sqref>BH16</xm:sqref>
        </x14:conditionalFormatting>
        <x14:conditionalFormatting xmlns:xm="http://schemas.microsoft.com/office/excel/2006/main">
          <x14:cfRule type="cellIs" priority="280" stopIfTrue="1" operator="lessThan" id="{DA425D88-44E3-4D79-9B47-C4669AF16455}">
            <xm:f>INDEX('1.Locations'!F2:F21,BB17 + 1)</xm:f>
            <x14:dxf>
              <fill>
                <patternFill>
                  <bgColor indexed="52"/>
                </patternFill>
              </fill>
            </x14:dxf>
          </x14:cfRule>
          <xm:sqref>BG17</xm:sqref>
        </x14:conditionalFormatting>
        <x14:conditionalFormatting xmlns:xm="http://schemas.microsoft.com/office/excel/2006/main">
          <x14:cfRule type="expression" priority="281" stopIfTrue="1" id="{59E6925F-A2A4-456C-BD2C-43881A20733C}">
            <xm:f>(60 * HOUR(BG17) + MINUTE(BG17)) &gt;(60 * HOUR(INDEX('1.Locations'!G2:G21,BB17 + 1)) +MINUTE(INDEX('1.Locations'!G2:G21,BB17 + 1)))</xm:f>
            <x14:dxf>
              <fill>
                <patternFill>
                  <bgColor indexed="52"/>
                </patternFill>
              </fill>
            </x14:dxf>
          </x14:cfRule>
          <xm:sqref>BG17</xm:sqref>
        </x14:conditionalFormatting>
        <x14:conditionalFormatting xmlns:xm="http://schemas.microsoft.com/office/excel/2006/main">
          <x14:cfRule type="expression" priority="282" stopIfTrue="1" id="{B93ACC66-43C6-4EA5-BBF0-5D86CD4DD7A6}">
            <xm:f>(60 * HOUR(BH17) + MINUTE(BH17)) &gt;(60 * HOUR(INDEX('1.Locations'!G2:G21,BB17 + 1)) +MINUTE(INDEX('1.Locations'!G2:G21,BB17 + 1)))</xm:f>
            <x14:dxf>
              <fill>
                <patternFill>
                  <bgColor indexed="52"/>
                </patternFill>
              </fill>
            </x14:dxf>
          </x14:cfRule>
          <xm:sqref>BH17</xm:sqref>
        </x14:conditionalFormatting>
        <x14:conditionalFormatting xmlns:xm="http://schemas.microsoft.com/office/excel/2006/main">
          <x14:cfRule type="cellIs" priority="283" stopIfTrue="1" operator="lessThan" id="{704FEEFB-59E1-496E-A006-3328D332E1AC}">
            <xm:f>INDEX('1.Locations'!F2:F21,BB18 + 1)</xm:f>
            <x14:dxf>
              <fill>
                <patternFill>
                  <bgColor indexed="52"/>
                </patternFill>
              </fill>
            </x14:dxf>
          </x14:cfRule>
          <xm:sqref>BG18</xm:sqref>
        </x14:conditionalFormatting>
        <x14:conditionalFormatting xmlns:xm="http://schemas.microsoft.com/office/excel/2006/main">
          <x14:cfRule type="expression" priority="284" stopIfTrue="1" id="{7D2E8465-A751-4428-BAE7-12D6FE38470A}">
            <xm:f>(60 * HOUR(BG18) + MINUTE(BG18)) &gt;(60 * HOUR(INDEX('1.Locations'!G2:G21,BB18 + 1)) +MINUTE(INDEX('1.Locations'!G2:G21,BB18 + 1)))</xm:f>
            <x14:dxf>
              <fill>
                <patternFill>
                  <bgColor indexed="52"/>
                </patternFill>
              </fill>
            </x14:dxf>
          </x14:cfRule>
          <xm:sqref>BG18</xm:sqref>
        </x14:conditionalFormatting>
        <x14:conditionalFormatting xmlns:xm="http://schemas.microsoft.com/office/excel/2006/main">
          <x14:cfRule type="expression" priority="285" stopIfTrue="1" id="{0B55163D-A57B-43AF-A5B4-43892EDAE6FF}">
            <xm:f>(60 * HOUR(BH18) + MINUTE(BH18)) &gt;(60 * HOUR(INDEX('1.Locations'!G2:G21,BB18 + 1)) +MINUTE(INDEX('1.Locations'!G2:G21,BB18 + 1)))</xm:f>
            <x14:dxf>
              <fill>
                <patternFill>
                  <bgColor indexed="52"/>
                </patternFill>
              </fill>
            </x14:dxf>
          </x14:cfRule>
          <xm:sqref>BH18</xm:sqref>
        </x14:conditionalFormatting>
        <x14:conditionalFormatting xmlns:xm="http://schemas.microsoft.com/office/excel/2006/main">
          <x14:cfRule type="cellIs" priority="286" stopIfTrue="1" operator="lessThan" id="{7553A3C9-7331-4828-BB40-A53A0EE35EA0}">
            <xm:f>INDEX('1.Locations'!F2:F21,BB19 + 1)</xm:f>
            <x14:dxf>
              <fill>
                <patternFill>
                  <bgColor indexed="52"/>
                </patternFill>
              </fill>
            </x14:dxf>
          </x14:cfRule>
          <xm:sqref>BG19</xm:sqref>
        </x14:conditionalFormatting>
        <x14:conditionalFormatting xmlns:xm="http://schemas.microsoft.com/office/excel/2006/main">
          <x14:cfRule type="expression" priority="287" stopIfTrue="1" id="{6FFB52A4-935A-40C0-96B3-398D3364C6BC}">
            <xm:f>(60 * HOUR(BG19) + MINUTE(BG19)) &gt;(60 * HOUR(INDEX('1.Locations'!G2:G21,BB19 + 1)) +MINUTE(INDEX('1.Locations'!G2:G21,BB19 + 1)))</xm:f>
            <x14:dxf>
              <fill>
                <patternFill>
                  <bgColor indexed="52"/>
                </patternFill>
              </fill>
            </x14:dxf>
          </x14:cfRule>
          <xm:sqref>BG19</xm:sqref>
        </x14:conditionalFormatting>
        <x14:conditionalFormatting xmlns:xm="http://schemas.microsoft.com/office/excel/2006/main">
          <x14:cfRule type="expression" priority="288" stopIfTrue="1" id="{97ED6718-7998-4CB5-B188-276359FE4EFD}">
            <xm:f>(60 * HOUR(BH19) + MINUTE(BH19)) &gt;(60 * HOUR(INDEX('1.Locations'!G2:G21,BB19 + 1)) +MINUTE(INDEX('1.Locations'!G2:G21,BB19 + 1)))</xm:f>
            <x14:dxf>
              <fill>
                <patternFill>
                  <bgColor indexed="52"/>
                </patternFill>
              </fill>
            </x14:dxf>
          </x14:cfRule>
          <xm:sqref>BH19</xm:sqref>
        </x14:conditionalFormatting>
        <x14:conditionalFormatting xmlns:xm="http://schemas.microsoft.com/office/excel/2006/main">
          <x14:cfRule type="cellIs" priority="289" stopIfTrue="1" operator="lessThan" id="{FDC87653-B7B4-4320-B82F-8DC6E362FDDD}">
            <xm:f>INDEX('1.Locations'!F2:F21,BB20 + 1)</xm:f>
            <x14:dxf>
              <fill>
                <patternFill>
                  <bgColor indexed="52"/>
                </patternFill>
              </fill>
            </x14:dxf>
          </x14:cfRule>
          <xm:sqref>BG20</xm:sqref>
        </x14:conditionalFormatting>
        <x14:conditionalFormatting xmlns:xm="http://schemas.microsoft.com/office/excel/2006/main">
          <x14:cfRule type="expression" priority="290" stopIfTrue="1" id="{2E38EBC6-20B4-4F24-A3BB-8739CE3449BB}">
            <xm:f>(60 * HOUR(BG20) + MINUTE(BG20)) &gt;(60 * HOUR(INDEX('1.Locations'!G2:G21,BB20 + 1)) +MINUTE(INDEX('1.Locations'!G2:G21,BB20 + 1)))</xm:f>
            <x14:dxf>
              <fill>
                <patternFill>
                  <bgColor indexed="52"/>
                </patternFill>
              </fill>
            </x14:dxf>
          </x14:cfRule>
          <xm:sqref>BG20</xm:sqref>
        </x14:conditionalFormatting>
        <x14:conditionalFormatting xmlns:xm="http://schemas.microsoft.com/office/excel/2006/main">
          <x14:cfRule type="expression" priority="291" stopIfTrue="1" id="{5D29927D-8FEB-4F04-8DF5-50CCABBFCF43}">
            <xm:f>(60 * HOUR(BH20) + MINUTE(BH20)) &gt;(60 * HOUR(INDEX('1.Locations'!G2:G21,BB20 + 1)) +MINUTE(INDEX('1.Locations'!G2:G21,BB20 + 1)))</xm:f>
            <x14:dxf>
              <fill>
                <patternFill>
                  <bgColor indexed="52"/>
                </patternFill>
              </fill>
            </x14:dxf>
          </x14:cfRule>
          <xm:sqref>BH20</xm:sqref>
        </x14:conditionalFormatting>
        <x14:conditionalFormatting xmlns:xm="http://schemas.microsoft.com/office/excel/2006/main">
          <x14:cfRule type="cellIs" priority="292" stopIfTrue="1" operator="lessThan" id="{59A1446F-5938-4D6D-BC3C-0ED2273214A4}">
            <xm:f>INDEX('1.Locations'!F2:F21,BB21 + 1)</xm:f>
            <x14:dxf>
              <fill>
                <patternFill>
                  <bgColor indexed="52"/>
                </patternFill>
              </fill>
            </x14:dxf>
          </x14:cfRule>
          <xm:sqref>BG21</xm:sqref>
        </x14:conditionalFormatting>
        <x14:conditionalFormatting xmlns:xm="http://schemas.microsoft.com/office/excel/2006/main">
          <x14:cfRule type="expression" priority="293" stopIfTrue="1" id="{4651347F-909B-47D3-9605-0AFF615476FA}">
            <xm:f>(60 * HOUR(BG21) + MINUTE(BG21)) &gt;(60 * HOUR(INDEX('1.Locations'!G2:G21,BB21 + 1)) +MINUTE(INDEX('1.Locations'!G2:G21,BB21 + 1)))</xm:f>
            <x14:dxf>
              <fill>
                <patternFill>
                  <bgColor indexed="52"/>
                </patternFill>
              </fill>
            </x14:dxf>
          </x14:cfRule>
          <xm:sqref>BG21</xm:sqref>
        </x14:conditionalFormatting>
        <x14:conditionalFormatting xmlns:xm="http://schemas.microsoft.com/office/excel/2006/main">
          <x14:cfRule type="expression" priority="294" stopIfTrue="1" id="{B7352433-B033-445E-AAD7-FA28890E62BA}">
            <xm:f>(60 * HOUR(BH21) + MINUTE(BH21)) &gt;(60 * HOUR(INDEX('1.Locations'!G2:G21,BB21 + 1)) +MINUTE(INDEX('1.Locations'!G2:G21,BB21 + 1)))</xm:f>
            <x14:dxf>
              <fill>
                <patternFill>
                  <bgColor indexed="52"/>
                </patternFill>
              </fill>
            </x14:dxf>
          </x14:cfRule>
          <xm:sqref>BH21</xm:sqref>
        </x14:conditionalFormatting>
        <x14:conditionalFormatting xmlns:xm="http://schemas.microsoft.com/office/excel/2006/main">
          <x14:cfRule type="cellIs" priority="295" stopIfTrue="1" operator="lessThan" id="{3A0E8FF2-79B0-4967-B7B1-49C0D22205DF}">
            <xm:f>INDEX('1.Locations'!F2:F21,BB22 + 1)</xm:f>
            <x14:dxf>
              <fill>
                <patternFill>
                  <bgColor indexed="52"/>
                </patternFill>
              </fill>
            </x14:dxf>
          </x14:cfRule>
          <xm:sqref>BG22</xm:sqref>
        </x14:conditionalFormatting>
        <x14:conditionalFormatting xmlns:xm="http://schemas.microsoft.com/office/excel/2006/main">
          <x14:cfRule type="expression" priority="296" stopIfTrue="1" id="{864CB1D4-ABE9-4FD7-A1AE-BFB8A20614AB}">
            <xm:f>(60 * HOUR(BG22) + MINUTE(BG22)) &gt;(60 * HOUR(INDEX('1.Locations'!G2:G21,BB22 + 1)) +MINUTE(INDEX('1.Locations'!G2:G21,BB22 + 1)))</xm:f>
            <x14:dxf>
              <fill>
                <patternFill>
                  <bgColor indexed="52"/>
                </patternFill>
              </fill>
            </x14:dxf>
          </x14:cfRule>
          <xm:sqref>BG22</xm:sqref>
        </x14:conditionalFormatting>
        <x14:conditionalFormatting xmlns:xm="http://schemas.microsoft.com/office/excel/2006/main">
          <x14:cfRule type="expression" priority="297" stopIfTrue="1" id="{0D2A3102-EB46-43D4-BFA5-D87B76743847}">
            <xm:f>(60 * HOUR(BH22) + MINUTE(BH22)) &gt;(60 * HOUR(INDEX('1.Locations'!G2:G21,BB22 + 1)) +MINUTE(INDEX('1.Locations'!G2:G21,BB22 + 1)))</xm:f>
            <x14:dxf>
              <fill>
                <patternFill>
                  <bgColor indexed="52"/>
                </patternFill>
              </fill>
            </x14:dxf>
          </x14:cfRule>
          <xm:sqref>BH22</xm:sqref>
        </x14:conditionalFormatting>
        <x14:conditionalFormatting xmlns:xm="http://schemas.microsoft.com/office/excel/2006/main">
          <x14:cfRule type="cellIs" priority="298" stopIfTrue="1" operator="lessThan" id="{80664607-1276-4356-A40B-1775EAA7908C}">
            <xm:f>INDEX('1.Locations'!F2:F21,BB23 + 1)</xm:f>
            <x14:dxf>
              <fill>
                <patternFill>
                  <bgColor indexed="52"/>
                </patternFill>
              </fill>
            </x14:dxf>
          </x14:cfRule>
          <xm:sqref>BG23</xm:sqref>
        </x14:conditionalFormatting>
        <x14:conditionalFormatting xmlns:xm="http://schemas.microsoft.com/office/excel/2006/main">
          <x14:cfRule type="expression" priority="299" stopIfTrue="1" id="{680F9E1B-C993-466F-8707-03D229876363}">
            <xm:f>(60 * HOUR(BG23) + MINUTE(BG23)) &gt;(60 * HOUR(INDEX('1.Locations'!G2:G21,BB23 + 1)) +MINUTE(INDEX('1.Locations'!G2:G21,BB23 + 1)))</xm:f>
            <x14:dxf>
              <fill>
                <patternFill>
                  <bgColor indexed="52"/>
                </patternFill>
              </fill>
            </x14:dxf>
          </x14:cfRule>
          <xm:sqref>BG23</xm:sqref>
        </x14:conditionalFormatting>
        <x14:conditionalFormatting xmlns:xm="http://schemas.microsoft.com/office/excel/2006/main">
          <x14:cfRule type="expression" priority="300" stopIfTrue="1" id="{C36DDAEC-D9E6-4BFC-BCD8-31D3B7936E33}">
            <xm:f>(60 * HOUR(BH23) + MINUTE(BH23)) &gt;(60 * HOUR(INDEX('1.Locations'!G2:G21,BB23 + 1)) +MINUTE(INDEX('1.Locations'!G2:G21,BB23 + 1)))</xm:f>
            <x14:dxf>
              <fill>
                <patternFill>
                  <bgColor indexed="52"/>
                </patternFill>
              </fill>
            </x14:dxf>
          </x14:cfRule>
          <xm:sqref>BH23</xm:sqref>
        </x14:conditionalFormatting>
        <x14:conditionalFormatting xmlns:xm="http://schemas.microsoft.com/office/excel/2006/main">
          <x14:cfRule type="cellIs" priority="301" stopIfTrue="1" operator="lessThan" id="{7CAC3F81-52F4-4565-B5D2-C90A1F7A220B}">
            <xm:f>INDEX('1.Locations'!F2:F21,BB24 + 1)</xm:f>
            <x14:dxf>
              <fill>
                <patternFill>
                  <bgColor indexed="52"/>
                </patternFill>
              </fill>
            </x14:dxf>
          </x14:cfRule>
          <xm:sqref>BG24</xm:sqref>
        </x14:conditionalFormatting>
        <x14:conditionalFormatting xmlns:xm="http://schemas.microsoft.com/office/excel/2006/main">
          <x14:cfRule type="expression" priority="302" stopIfTrue="1" id="{A7A726EB-7687-44F8-96E8-713BE19A0A19}">
            <xm:f>(60 * HOUR(BG24) + MINUTE(BG24)) &gt;(60 * HOUR(INDEX('1.Locations'!G2:G21,BB24 + 1)) +MINUTE(INDEX('1.Locations'!G2:G21,BB24 + 1)))</xm:f>
            <x14:dxf>
              <fill>
                <patternFill>
                  <bgColor indexed="52"/>
                </patternFill>
              </fill>
            </x14:dxf>
          </x14:cfRule>
          <xm:sqref>BG24</xm:sqref>
        </x14:conditionalFormatting>
        <x14:conditionalFormatting xmlns:xm="http://schemas.microsoft.com/office/excel/2006/main">
          <x14:cfRule type="expression" priority="303" stopIfTrue="1" id="{2D8D791A-E124-40E9-AF4F-B1E6BC41D467}">
            <xm:f>(60 * HOUR(BH24) + MINUTE(BH24)) &gt;(60 * HOUR(INDEX('1.Locations'!G2:G21,BB24 + 1)) +MINUTE(INDEX('1.Locations'!G2:G21,BB24 + 1)))</xm:f>
            <x14:dxf>
              <fill>
                <patternFill>
                  <bgColor indexed="52"/>
                </patternFill>
              </fill>
            </x14:dxf>
          </x14:cfRule>
          <xm:sqref>BH24</xm:sqref>
        </x14:conditionalFormatting>
        <x14:conditionalFormatting xmlns:xm="http://schemas.microsoft.com/office/excel/2006/main">
          <x14:cfRule type="cellIs" priority="304" stopIfTrue="1" operator="lessThan" id="{F7E6A9DC-1D09-457B-8608-6A8C0F4CA878}">
            <xm:f>INDEX('1.Locations'!F2:F21,BB25 + 1)</xm:f>
            <x14:dxf>
              <fill>
                <patternFill>
                  <bgColor indexed="5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expression" priority="305" stopIfTrue="1" id="{641A7022-EF58-4A61-B8F2-CD67D06CAF66}">
            <xm:f>(60 * HOUR(BG25) + MINUTE(BG25)) &gt;(60 * HOUR(INDEX('1.Locations'!G2:G21,BB25 + 1)) +MINUTE(INDEX('1.Locations'!G2:G21,BB25 + 1)))</xm:f>
            <x14:dxf>
              <fill>
                <patternFill>
                  <bgColor indexed="5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expression" priority="306" stopIfTrue="1" id="{86683063-32CA-48B8-90E4-B81C27B0E331}">
            <xm:f>(60 * HOUR(BH25) + MINUTE(BH25)) &gt;(60 * HOUR(INDEX('1.Locations'!G2:G21,BB25 + 1)) +MINUTE(INDEX('1.Locations'!G2:G21,BB25 + 1)))</xm:f>
            <x14:dxf>
              <fill>
                <patternFill>
                  <bgColor indexed="52"/>
                </patternFill>
              </fill>
            </x14:dxf>
          </x14:cfRule>
          <xm:sqref>BH25</xm:sqref>
        </x14:conditionalFormatting>
        <x14:conditionalFormatting xmlns:xm="http://schemas.microsoft.com/office/excel/2006/main">
          <x14:cfRule type="cellIs" priority="307" stopIfTrue="1" operator="greaterThan" id="{D600919C-EA22-4B62-8EB3-C69DAD5E4B2E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BE6:BE25</xm:sqref>
        </x14:conditionalFormatting>
        <x14:conditionalFormatting xmlns:xm="http://schemas.microsoft.com/office/excel/2006/main">
          <x14:cfRule type="cellIs" priority="308" stopIfTrue="1" operator="greaterThan" id="{40C160F0-A068-424E-8594-462FE37B8D0D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BO6:BO25</xm:sqref>
        </x14:conditionalFormatting>
        <x14:conditionalFormatting xmlns:xm="http://schemas.microsoft.com/office/excel/2006/main">
          <x14:cfRule type="cellIs" priority="310" stopIfTrue="1" operator="greaterThan" id="{5F1BF51B-D13E-4947-8F6E-4ACF202D33F6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BF6:BF25</xm:sqref>
        </x14:conditionalFormatting>
        <x14:conditionalFormatting xmlns:xm="http://schemas.microsoft.com/office/excel/2006/main">
          <x14:cfRule type="cellIs" priority="311" stopIfTrue="1" operator="greaterThan" id="{526049CE-6067-4AC3-9432-124731709AF0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BI6:BI25</xm:sqref>
        </x14:conditionalFormatting>
        <x14:conditionalFormatting xmlns:xm="http://schemas.microsoft.com/office/excel/2006/main">
          <x14:cfRule type="expression" priority="313" stopIfTrue="1" id="{C1B1C104-05A2-4693-8604-551BAAED048D}">
            <xm:f>(60 * HOUR(BX5) + MINUTE(BX5)) &gt;(60 * HOUR(INDEX('1.Locations'!G2:G21,BS5 + 1)) +MINUTE(INDEX('1.Locations'!G2:G21,BS5 + 1)))</xm:f>
            <x14:dxf>
              <fill>
                <patternFill>
                  <bgColor indexed="52"/>
                </patternFill>
              </fill>
            </x14:dxf>
          </x14:cfRule>
          <xm:sqref>BX5</xm:sqref>
        </x14:conditionalFormatting>
        <x14:conditionalFormatting xmlns:xm="http://schemas.microsoft.com/office/excel/2006/main">
          <x14:cfRule type="expression" priority="314" stopIfTrue="1" id="{F0B2C016-FE3C-4EB6-A501-CB7A199381C3}">
            <xm:f>(60 * HOUR(BY5) + MINUTE(BY5)) &gt;(60 * HOUR(INDEX('1.Locations'!G2:G21,BS5 + 1)) +MINUTE(INDEX('1.Locations'!G2:G21,BS5 + 1)))</xm:f>
            <x14:dxf>
              <fill>
                <patternFill>
                  <bgColor indexed="52"/>
                </patternFill>
              </fill>
            </x14:dxf>
          </x14:cfRule>
          <xm:sqref>BY5</xm:sqref>
        </x14:conditionalFormatting>
        <x14:conditionalFormatting xmlns:xm="http://schemas.microsoft.com/office/excel/2006/main">
          <x14:cfRule type="cellIs" priority="315" stopIfTrue="1" operator="lessThan" id="{756612E5-7AA5-4077-A4B5-6C01464B3006}">
            <xm:f>INDEX('1.Locations'!F2:F21,BS6 + 1)</xm:f>
            <x14:dxf>
              <fill>
                <patternFill>
                  <bgColor indexed="52"/>
                </patternFill>
              </fill>
            </x14:dxf>
          </x14:cfRule>
          <xm:sqref>BX6</xm:sqref>
        </x14:conditionalFormatting>
        <x14:conditionalFormatting xmlns:xm="http://schemas.microsoft.com/office/excel/2006/main">
          <x14:cfRule type="expression" priority="316" stopIfTrue="1" id="{BA899AF8-A322-4E21-915D-789360BAC2CC}">
            <xm:f>(60 * HOUR(BX6) + MINUTE(BX6)) &gt;(60 * HOUR(INDEX('1.Locations'!G2:G21,BS6 + 1)) +MINUTE(INDEX('1.Locations'!G2:G21,BS6 + 1)))</xm:f>
            <x14:dxf>
              <fill>
                <patternFill>
                  <bgColor indexed="52"/>
                </patternFill>
              </fill>
            </x14:dxf>
          </x14:cfRule>
          <xm:sqref>BX6</xm:sqref>
        </x14:conditionalFormatting>
        <x14:conditionalFormatting xmlns:xm="http://schemas.microsoft.com/office/excel/2006/main">
          <x14:cfRule type="expression" priority="317" stopIfTrue="1" id="{9CB88C27-D42E-4935-8612-2F20B4BBE40A}">
            <xm:f>(60 * HOUR(BY6) + MINUTE(BY6)) &gt;(60 * HOUR(INDEX('1.Locations'!G2:G21,BS6 + 1)) +MINUTE(INDEX('1.Locations'!G2:G21,BS6 + 1)))</xm:f>
            <x14:dxf>
              <fill>
                <patternFill>
                  <bgColor indexed="52"/>
                </patternFill>
              </fill>
            </x14:dxf>
          </x14:cfRule>
          <xm:sqref>BY6</xm:sqref>
        </x14:conditionalFormatting>
        <x14:conditionalFormatting xmlns:xm="http://schemas.microsoft.com/office/excel/2006/main">
          <x14:cfRule type="cellIs" priority="318" stopIfTrue="1" operator="lessThan" id="{89EC8957-D949-409E-9810-13D0BBC09023}">
            <xm:f>INDEX('1.Locations'!F2:F21,BS7 + 1)</xm:f>
            <x14:dxf>
              <fill>
                <patternFill>
                  <bgColor indexed="52"/>
                </patternFill>
              </fill>
            </x14:dxf>
          </x14:cfRule>
          <xm:sqref>BX7</xm:sqref>
        </x14:conditionalFormatting>
        <x14:conditionalFormatting xmlns:xm="http://schemas.microsoft.com/office/excel/2006/main">
          <x14:cfRule type="expression" priority="319" stopIfTrue="1" id="{5F543C5F-A0DD-4D39-937D-3CF4FE4D8AE5}">
            <xm:f>(60 * HOUR(BX7) + MINUTE(BX7)) &gt;(60 * HOUR(INDEX('1.Locations'!G2:G21,BS7 + 1)) +MINUTE(INDEX('1.Locations'!G2:G21,BS7 + 1)))</xm:f>
            <x14:dxf>
              <fill>
                <patternFill>
                  <bgColor indexed="52"/>
                </patternFill>
              </fill>
            </x14:dxf>
          </x14:cfRule>
          <xm:sqref>BX7</xm:sqref>
        </x14:conditionalFormatting>
        <x14:conditionalFormatting xmlns:xm="http://schemas.microsoft.com/office/excel/2006/main">
          <x14:cfRule type="expression" priority="320" stopIfTrue="1" id="{C190EA8B-27A0-47A6-BF3B-55BBDA5C382E}">
            <xm:f>(60 * HOUR(BY7) + MINUTE(BY7)) &gt;(60 * HOUR(INDEX('1.Locations'!G2:G21,BS7 + 1)) +MINUTE(INDEX('1.Locations'!G2:G21,BS7 + 1)))</xm:f>
            <x14:dxf>
              <fill>
                <patternFill>
                  <bgColor indexed="52"/>
                </patternFill>
              </fill>
            </x14:dxf>
          </x14:cfRule>
          <xm:sqref>BY7</xm:sqref>
        </x14:conditionalFormatting>
        <x14:conditionalFormatting xmlns:xm="http://schemas.microsoft.com/office/excel/2006/main">
          <x14:cfRule type="cellIs" priority="321" stopIfTrue="1" operator="lessThan" id="{41CF653D-D49C-4ABB-A80F-5614CCBFC8C3}">
            <xm:f>INDEX('1.Locations'!F2:F21,BS8 + 1)</xm:f>
            <x14:dxf>
              <fill>
                <patternFill>
                  <bgColor indexed="52"/>
                </patternFill>
              </fill>
            </x14:dxf>
          </x14:cfRule>
          <xm:sqref>BX8</xm:sqref>
        </x14:conditionalFormatting>
        <x14:conditionalFormatting xmlns:xm="http://schemas.microsoft.com/office/excel/2006/main">
          <x14:cfRule type="expression" priority="322" stopIfTrue="1" id="{BCD56D03-ED9D-490C-8673-4F77A2A19753}">
            <xm:f>(60 * HOUR(BX8) + MINUTE(BX8)) &gt;(60 * HOUR(INDEX('1.Locations'!G2:G21,BS8 + 1)) +MINUTE(INDEX('1.Locations'!G2:G21,BS8 + 1)))</xm:f>
            <x14:dxf>
              <fill>
                <patternFill>
                  <bgColor indexed="52"/>
                </patternFill>
              </fill>
            </x14:dxf>
          </x14:cfRule>
          <xm:sqref>BX8</xm:sqref>
        </x14:conditionalFormatting>
        <x14:conditionalFormatting xmlns:xm="http://schemas.microsoft.com/office/excel/2006/main">
          <x14:cfRule type="expression" priority="323" stopIfTrue="1" id="{D4AD17C4-6660-4331-84BA-F313C57EFD75}">
            <xm:f>(60 * HOUR(BY8) + MINUTE(BY8)) &gt;(60 * HOUR(INDEX('1.Locations'!G2:G21,BS8 + 1)) +MINUTE(INDEX('1.Locations'!G2:G21,BS8 + 1)))</xm:f>
            <x14:dxf>
              <fill>
                <patternFill>
                  <bgColor indexed="52"/>
                </patternFill>
              </fill>
            </x14:dxf>
          </x14:cfRule>
          <xm:sqref>BY8</xm:sqref>
        </x14:conditionalFormatting>
        <x14:conditionalFormatting xmlns:xm="http://schemas.microsoft.com/office/excel/2006/main">
          <x14:cfRule type="cellIs" priority="324" stopIfTrue="1" operator="lessThan" id="{1B198D4B-9475-43FA-9E03-9641A336E4C9}">
            <xm:f>INDEX('1.Locations'!F2:F21,BS9 + 1)</xm:f>
            <x14:dxf>
              <fill>
                <patternFill>
                  <bgColor indexed="52"/>
                </patternFill>
              </fill>
            </x14:dxf>
          </x14:cfRule>
          <xm:sqref>BX9</xm:sqref>
        </x14:conditionalFormatting>
        <x14:conditionalFormatting xmlns:xm="http://schemas.microsoft.com/office/excel/2006/main">
          <x14:cfRule type="expression" priority="325" stopIfTrue="1" id="{8C9EC3AA-BDA1-4903-9690-6CA06E8D0875}">
            <xm:f>(60 * HOUR(BX9) + MINUTE(BX9)) &gt;(60 * HOUR(INDEX('1.Locations'!G2:G21,BS9 + 1)) +MINUTE(INDEX('1.Locations'!G2:G21,BS9 + 1)))</xm:f>
            <x14:dxf>
              <fill>
                <patternFill>
                  <bgColor indexed="52"/>
                </patternFill>
              </fill>
            </x14:dxf>
          </x14:cfRule>
          <xm:sqref>BX9</xm:sqref>
        </x14:conditionalFormatting>
        <x14:conditionalFormatting xmlns:xm="http://schemas.microsoft.com/office/excel/2006/main">
          <x14:cfRule type="expression" priority="326" stopIfTrue="1" id="{00530F6F-EC59-4729-9E4B-0D881A42857E}">
            <xm:f>(60 * HOUR(BY9) + MINUTE(BY9)) &gt;(60 * HOUR(INDEX('1.Locations'!G2:G21,BS9 + 1)) +MINUTE(INDEX('1.Locations'!G2:G21,BS9 + 1)))</xm:f>
            <x14:dxf>
              <fill>
                <patternFill>
                  <bgColor indexed="52"/>
                </patternFill>
              </fill>
            </x14:dxf>
          </x14:cfRule>
          <xm:sqref>BY9</xm:sqref>
        </x14:conditionalFormatting>
        <x14:conditionalFormatting xmlns:xm="http://schemas.microsoft.com/office/excel/2006/main">
          <x14:cfRule type="cellIs" priority="327" stopIfTrue="1" operator="lessThan" id="{BA87FF6C-9672-4A4B-8A2C-BB6FF456BE55}">
            <xm:f>INDEX('1.Locations'!F2:F21,BS10 + 1)</xm:f>
            <x14:dxf>
              <fill>
                <patternFill>
                  <bgColor indexed="52"/>
                </patternFill>
              </fill>
            </x14:dxf>
          </x14:cfRule>
          <xm:sqref>BX10</xm:sqref>
        </x14:conditionalFormatting>
        <x14:conditionalFormatting xmlns:xm="http://schemas.microsoft.com/office/excel/2006/main">
          <x14:cfRule type="expression" priority="328" stopIfTrue="1" id="{8992D3C9-78F6-4EFD-B329-0A49CB0B1CC7}">
            <xm:f>(60 * HOUR(BX10) + MINUTE(BX10)) &gt;(60 * HOUR(INDEX('1.Locations'!G2:G21,BS10 + 1)) +MINUTE(INDEX('1.Locations'!G2:G21,BS10 + 1)))</xm:f>
            <x14:dxf>
              <fill>
                <patternFill>
                  <bgColor indexed="52"/>
                </patternFill>
              </fill>
            </x14:dxf>
          </x14:cfRule>
          <xm:sqref>BX10</xm:sqref>
        </x14:conditionalFormatting>
        <x14:conditionalFormatting xmlns:xm="http://schemas.microsoft.com/office/excel/2006/main">
          <x14:cfRule type="expression" priority="329" stopIfTrue="1" id="{A6B12298-503D-43CC-BD24-7AB79D796C3E}">
            <xm:f>(60 * HOUR(BY10) + MINUTE(BY10)) &gt;(60 * HOUR(INDEX('1.Locations'!G2:G21,BS10 + 1)) +MINUTE(INDEX('1.Locations'!G2:G21,BS10 + 1)))</xm:f>
            <x14:dxf>
              <fill>
                <patternFill>
                  <bgColor indexed="52"/>
                </patternFill>
              </fill>
            </x14:dxf>
          </x14:cfRule>
          <xm:sqref>BY10</xm:sqref>
        </x14:conditionalFormatting>
        <x14:conditionalFormatting xmlns:xm="http://schemas.microsoft.com/office/excel/2006/main">
          <x14:cfRule type="cellIs" priority="330" stopIfTrue="1" operator="lessThan" id="{F7B4370F-08B8-4841-B9F0-857856B1F721}">
            <xm:f>INDEX('1.Locations'!F2:F21,BS11 + 1)</xm:f>
            <x14:dxf>
              <fill>
                <patternFill>
                  <bgColor indexed="52"/>
                </patternFill>
              </fill>
            </x14:dxf>
          </x14:cfRule>
          <xm:sqref>BX11</xm:sqref>
        </x14:conditionalFormatting>
        <x14:conditionalFormatting xmlns:xm="http://schemas.microsoft.com/office/excel/2006/main">
          <x14:cfRule type="expression" priority="331" stopIfTrue="1" id="{3D1D5E39-0728-4DF8-81BB-B526E776DC9C}">
            <xm:f>(60 * HOUR(BX11) + MINUTE(BX11)) &gt;(60 * HOUR(INDEX('1.Locations'!G2:G21,BS11 + 1)) +MINUTE(INDEX('1.Locations'!G2:G21,BS11 + 1)))</xm:f>
            <x14:dxf>
              <fill>
                <patternFill>
                  <bgColor indexed="52"/>
                </patternFill>
              </fill>
            </x14:dxf>
          </x14:cfRule>
          <xm:sqref>BX11</xm:sqref>
        </x14:conditionalFormatting>
        <x14:conditionalFormatting xmlns:xm="http://schemas.microsoft.com/office/excel/2006/main">
          <x14:cfRule type="expression" priority="332" stopIfTrue="1" id="{D28A6DA5-0F44-43B7-8773-C63F02514858}">
            <xm:f>(60 * HOUR(BY11) + MINUTE(BY11)) &gt;(60 * HOUR(INDEX('1.Locations'!G2:G21,BS11 + 1)) +MINUTE(INDEX('1.Locations'!G2:G21,BS11 + 1)))</xm:f>
            <x14:dxf>
              <fill>
                <patternFill>
                  <bgColor indexed="52"/>
                </patternFill>
              </fill>
            </x14:dxf>
          </x14:cfRule>
          <xm:sqref>BY11</xm:sqref>
        </x14:conditionalFormatting>
        <x14:conditionalFormatting xmlns:xm="http://schemas.microsoft.com/office/excel/2006/main">
          <x14:cfRule type="cellIs" priority="333" stopIfTrue="1" operator="lessThan" id="{5780CF7C-B66F-42A7-9BA2-C1C52CFFCC5A}">
            <xm:f>INDEX('1.Locations'!F2:F21,BS12 + 1)</xm:f>
            <x14:dxf>
              <fill>
                <patternFill>
                  <bgColor indexed="52"/>
                </patternFill>
              </fill>
            </x14:dxf>
          </x14:cfRule>
          <xm:sqref>BX12</xm:sqref>
        </x14:conditionalFormatting>
        <x14:conditionalFormatting xmlns:xm="http://schemas.microsoft.com/office/excel/2006/main">
          <x14:cfRule type="expression" priority="334" stopIfTrue="1" id="{C7D5B01A-21CB-4074-BD9D-93EDEA870EBD}">
            <xm:f>(60 * HOUR(BX12) + MINUTE(BX12)) &gt;(60 * HOUR(INDEX('1.Locations'!G2:G21,BS12 + 1)) +MINUTE(INDEX('1.Locations'!G2:G21,BS12 + 1)))</xm:f>
            <x14:dxf>
              <fill>
                <patternFill>
                  <bgColor indexed="52"/>
                </patternFill>
              </fill>
            </x14:dxf>
          </x14:cfRule>
          <xm:sqref>BX12</xm:sqref>
        </x14:conditionalFormatting>
        <x14:conditionalFormatting xmlns:xm="http://schemas.microsoft.com/office/excel/2006/main">
          <x14:cfRule type="expression" priority="335" stopIfTrue="1" id="{E943DD39-18A6-4C9C-9CDD-33679067A375}">
            <xm:f>(60 * HOUR(BY12) + MINUTE(BY12)) &gt;(60 * HOUR(INDEX('1.Locations'!G2:G21,BS12 + 1)) +MINUTE(INDEX('1.Locations'!G2:G21,BS12 + 1)))</xm:f>
            <x14:dxf>
              <fill>
                <patternFill>
                  <bgColor indexed="52"/>
                </patternFill>
              </fill>
            </x14:dxf>
          </x14:cfRule>
          <xm:sqref>BY12</xm:sqref>
        </x14:conditionalFormatting>
        <x14:conditionalFormatting xmlns:xm="http://schemas.microsoft.com/office/excel/2006/main">
          <x14:cfRule type="cellIs" priority="336" stopIfTrue="1" operator="lessThan" id="{50B13149-75B6-49A7-8EF2-95E983A5DE8D}">
            <xm:f>INDEX('1.Locations'!F2:F21,BS13 + 1)</xm:f>
            <x14:dxf>
              <fill>
                <patternFill>
                  <bgColor indexed="52"/>
                </patternFill>
              </fill>
            </x14:dxf>
          </x14:cfRule>
          <xm:sqref>BX13</xm:sqref>
        </x14:conditionalFormatting>
        <x14:conditionalFormatting xmlns:xm="http://schemas.microsoft.com/office/excel/2006/main">
          <x14:cfRule type="expression" priority="337" stopIfTrue="1" id="{361489D7-3E54-4533-84DA-F7DD7B480CAD}">
            <xm:f>(60 * HOUR(BX13) + MINUTE(BX13)) &gt;(60 * HOUR(INDEX('1.Locations'!G2:G21,BS13 + 1)) +MINUTE(INDEX('1.Locations'!G2:G21,BS13 + 1)))</xm:f>
            <x14:dxf>
              <fill>
                <patternFill>
                  <bgColor indexed="52"/>
                </patternFill>
              </fill>
            </x14:dxf>
          </x14:cfRule>
          <xm:sqref>BX13</xm:sqref>
        </x14:conditionalFormatting>
        <x14:conditionalFormatting xmlns:xm="http://schemas.microsoft.com/office/excel/2006/main">
          <x14:cfRule type="expression" priority="338" stopIfTrue="1" id="{E7D1F4B1-587B-4A10-9A6D-C402069A6F94}">
            <xm:f>(60 * HOUR(BY13) + MINUTE(BY13)) &gt;(60 * HOUR(INDEX('1.Locations'!G2:G21,BS13 + 1)) +MINUTE(INDEX('1.Locations'!G2:G21,BS13 + 1)))</xm:f>
            <x14:dxf>
              <fill>
                <patternFill>
                  <bgColor indexed="52"/>
                </patternFill>
              </fill>
            </x14:dxf>
          </x14:cfRule>
          <xm:sqref>BY13</xm:sqref>
        </x14:conditionalFormatting>
        <x14:conditionalFormatting xmlns:xm="http://schemas.microsoft.com/office/excel/2006/main">
          <x14:cfRule type="cellIs" priority="339" stopIfTrue="1" operator="lessThan" id="{B0E1728E-614B-46F8-A61E-D6B288918847}">
            <xm:f>INDEX('1.Locations'!F2:F21,BS14 + 1)</xm:f>
            <x14:dxf>
              <fill>
                <patternFill>
                  <bgColor indexed="52"/>
                </patternFill>
              </fill>
            </x14:dxf>
          </x14:cfRule>
          <xm:sqref>BX14</xm:sqref>
        </x14:conditionalFormatting>
        <x14:conditionalFormatting xmlns:xm="http://schemas.microsoft.com/office/excel/2006/main">
          <x14:cfRule type="expression" priority="340" stopIfTrue="1" id="{0ABF604D-1F6D-4E06-81D0-2DB6D79C02FA}">
            <xm:f>(60 * HOUR(BX14) + MINUTE(BX14)) &gt;(60 * HOUR(INDEX('1.Locations'!G2:G21,BS14 + 1)) +MINUTE(INDEX('1.Locations'!G2:G21,BS14 + 1)))</xm:f>
            <x14:dxf>
              <fill>
                <patternFill>
                  <bgColor indexed="52"/>
                </patternFill>
              </fill>
            </x14:dxf>
          </x14:cfRule>
          <xm:sqref>BX14</xm:sqref>
        </x14:conditionalFormatting>
        <x14:conditionalFormatting xmlns:xm="http://schemas.microsoft.com/office/excel/2006/main">
          <x14:cfRule type="expression" priority="341" stopIfTrue="1" id="{E4309B40-4E34-4D4A-A85B-6C21AF4A4822}">
            <xm:f>(60 * HOUR(BY14) + MINUTE(BY14)) &gt;(60 * HOUR(INDEX('1.Locations'!G2:G21,BS14 + 1)) +MINUTE(INDEX('1.Locations'!G2:G21,BS14 + 1)))</xm:f>
            <x14:dxf>
              <fill>
                <patternFill>
                  <bgColor indexed="52"/>
                </patternFill>
              </fill>
            </x14:dxf>
          </x14:cfRule>
          <xm:sqref>BY14</xm:sqref>
        </x14:conditionalFormatting>
        <x14:conditionalFormatting xmlns:xm="http://schemas.microsoft.com/office/excel/2006/main">
          <x14:cfRule type="cellIs" priority="342" stopIfTrue="1" operator="lessThan" id="{6FF4FB34-79BE-4744-93F5-7F899FEBDC37}">
            <xm:f>INDEX('1.Locations'!F2:F21,BS15 + 1)</xm:f>
            <x14:dxf>
              <fill>
                <patternFill>
                  <bgColor indexed="52"/>
                </patternFill>
              </fill>
            </x14:dxf>
          </x14:cfRule>
          <xm:sqref>BX15</xm:sqref>
        </x14:conditionalFormatting>
        <x14:conditionalFormatting xmlns:xm="http://schemas.microsoft.com/office/excel/2006/main">
          <x14:cfRule type="expression" priority="343" stopIfTrue="1" id="{1DD60A29-393F-4CCD-8E6D-9E510FCAE983}">
            <xm:f>(60 * HOUR(BX15) + MINUTE(BX15)) &gt;(60 * HOUR(INDEX('1.Locations'!G2:G21,BS15 + 1)) +MINUTE(INDEX('1.Locations'!G2:G21,BS15 + 1)))</xm:f>
            <x14:dxf>
              <fill>
                <patternFill>
                  <bgColor indexed="52"/>
                </patternFill>
              </fill>
            </x14:dxf>
          </x14:cfRule>
          <xm:sqref>BX15</xm:sqref>
        </x14:conditionalFormatting>
        <x14:conditionalFormatting xmlns:xm="http://schemas.microsoft.com/office/excel/2006/main">
          <x14:cfRule type="expression" priority="344" stopIfTrue="1" id="{11D5139F-B82C-4BDD-AF27-9FCCA2C48FBD}">
            <xm:f>(60 * HOUR(BY15) + MINUTE(BY15)) &gt;(60 * HOUR(INDEX('1.Locations'!G2:G21,BS15 + 1)) +MINUTE(INDEX('1.Locations'!G2:G21,BS15 + 1)))</xm:f>
            <x14:dxf>
              <fill>
                <patternFill>
                  <bgColor indexed="52"/>
                </patternFill>
              </fill>
            </x14:dxf>
          </x14:cfRule>
          <xm:sqref>BY15</xm:sqref>
        </x14:conditionalFormatting>
        <x14:conditionalFormatting xmlns:xm="http://schemas.microsoft.com/office/excel/2006/main">
          <x14:cfRule type="cellIs" priority="345" stopIfTrue="1" operator="lessThan" id="{3B6174D5-C9C8-4850-A4D9-F2DA819A159B}">
            <xm:f>INDEX('1.Locations'!F2:F21,BS16 + 1)</xm:f>
            <x14:dxf>
              <fill>
                <patternFill>
                  <bgColor indexed="52"/>
                </patternFill>
              </fill>
            </x14:dxf>
          </x14:cfRule>
          <xm:sqref>BX16</xm:sqref>
        </x14:conditionalFormatting>
        <x14:conditionalFormatting xmlns:xm="http://schemas.microsoft.com/office/excel/2006/main">
          <x14:cfRule type="expression" priority="346" stopIfTrue="1" id="{6BBFB39B-5502-4E4B-B676-57E37EAF7422}">
            <xm:f>(60 * HOUR(BX16) + MINUTE(BX16)) &gt;(60 * HOUR(INDEX('1.Locations'!G2:G21,BS16 + 1)) +MINUTE(INDEX('1.Locations'!G2:G21,BS16 + 1)))</xm:f>
            <x14:dxf>
              <fill>
                <patternFill>
                  <bgColor indexed="52"/>
                </patternFill>
              </fill>
            </x14:dxf>
          </x14:cfRule>
          <xm:sqref>BX16</xm:sqref>
        </x14:conditionalFormatting>
        <x14:conditionalFormatting xmlns:xm="http://schemas.microsoft.com/office/excel/2006/main">
          <x14:cfRule type="expression" priority="347" stopIfTrue="1" id="{95B1F34F-CE7D-4BF2-AC6C-EB1CB449A472}">
            <xm:f>(60 * HOUR(BY16) + MINUTE(BY16)) &gt;(60 * HOUR(INDEX('1.Locations'!G2:G21,BS16 + 1)) +MINUTE(INDEX('1.Locations'!G2:G21,BS16 + 1)))</xm:f>
            <x14:dxf>
              <fill>
                <patternFill>
                  <bgColor indexed="52"/>
                </patternFill>
              </fill>
            </x14:dxf>
          </x14:cfRule>
          <xm:sqref>BY16</xm:sqref>
        </x14:conditionalFormatting>
        <x14:conditionalFormatting xmlns:xm="http://schemas.microsoft.com/office/excel/2006/main">
          <x14:cfRule type="cellIs" priority="348" stopIfTrue="1" operator="lessThan" id="{9FE14740-350A-4487-9625-B73F3A29BEEC}">
            <xm:f>INDEX('1.Locations'!F2:F21,BS17 + 1)</xm:f>
            <x14:dxf>
              <fill>
                <patternFill>
                  <bgColor indexed="52"/>
                </patternFill>
              </fill>
            </x14:dxf>
          </x14:cfRule>
          <xm:sqref>BX17</xm:sqref>
        </x14:conditionalFormatting>
        <x14:conditionalFormatting xmlns:xm="http://schemas.microsoft.com/office/excel/2006/main">
          <x14:cfRule type="expression" priority="349" stopIfTrue="1" id="{F925A535-EB44-42F4-8417-2009CDB71E10}">
            <xm:f>(60 * HOUR(BX17) + MINUTE(BX17)) &gt;(60 * HOUR(INDEX('1.Locations'!G2:G21,BS17 + 1)) +MINUTE(INDEX('1.Locations'!G2:G21,BS17 + 1)))</xm:f>
            <x14:dxf>
              <fill>
                <patternFill>
                  <bgColor indexed="52"/>
                </patternFill>
              </fill>
            </x14:dxf>
          </x14:cfRule>
          <xm:sqref>BX17</xm:sqref>
        </x14:conditionalFormatting>
        <x14:conditionalFormatting xmlns:xm="http://schemas.microsoft.com/office/excel/2006/main">
          <x14:cfRule type="expression" priority="350" stopIfTrue="1" id="{A7002C1A-AF88-4081-A266-87B5F14C9385}">
            <xm:f>(60 * HOUR(BY17) + MINUTE(BY17)) &gt;(60 * HOUR(INDEX('1.Locations'!G2:G21,BS17 + 1)) +MINUTE(INDEX('1.Locations'!G2:G21,BS17 + 1)))</xm:f>
            <x14:dxf>
              <fill>
                <patternFill>
                  <bgColor indexed="52"/>
                </patternFill>
              </fill>
            </x14:dxf>
          </x14:cfRule>
          <xm:sqref>BY17</xm:sqref>
        </x14:conditionalFormatting>
        <x14:conditionalFormatting xmlns:xm="http://schemas.microsoft.com/office/excel/2006/main">
          <x14:cfRule type="cellIs" priority="351" stopIfTrue="1" operator="lessThan" id="{491EEEA0-D127-4429-B754-18BCCDC50B31}">
            <xm:f>INDEX('1.Locations'!F2:F21,BS18 + 1)</xm:f>
            <x14:dxf>
              <fill>
                <patternFill>
                  <bgColor indexed="52"/>
                </patternFill>
              </fill>
            </x14:dxf>
          </x14:cfRule>
          <xm:sqref>BX18</xm:sqref>
        </x14:conditionalFormatting>
        <x14:conditionalFormatting xmlns:xm="http://schemas.microsoft.com/office/excel/2006/main">
          <x14:cfRule type="expression" priority="352" stopIfTrue="1" id="{540C6229-FADA-4CB6-93C0-A2F232379EED}">
            <xm:f>(60 * HOUR(BX18) + MINUTE(BX18)) &gt;(60 * HOUR(INDEX('1.Locations'!G2:G21,BS18 + 1)) +MINUTE(INDEX('1.Locations'!G2:G21,BS18 + 1)))</xm:f>
            <x14:dxf>
              <fill>
                <patternFill>
                  <bgColor indexed="52"/>
                </patternFill>
              </fill>
            </x14:dxf>
          </x14:cfRule>
          <xm:sqref>BX18</xm:sqref>
        </x14:conditionalFormatting>
        <x14:conditionalFormatting xmlns:xm="http://schemas.microsoft.com/office/excel/2006/main">
          <x14:cfRule type="expression" priority="353" stopIfTrue="1" id="{4097E6AD-521C-4E4E-8D58-3EA4722975D4}">
            <xm:f>(60 * HOUR(BY18) + MINUTE(BY18)) &gt;(60 * HOUR(INDEX('1.Locations'!G2:G21,BS18 + 1)) +MINUTE(INDEX('1.Locations'!G2:G21,BS18 + 1)))</xm:f>
            <x14:dxf>
              <fill>
                <patternFill>
                  <bgColor indexed="52"/>
                </patternFill>
              </fill>
            </x14:dxf>
          </x14:cfRule>
          <xm:sqref>BY18</xm:sqref>
        </x14:conditionalFormatting>
        <x14:conditionalFormatting xmlns:xm="http://schemas.microsoft.com/office/excel/2006/main">
          <x14:cfRule type="cellIs" priority="354" stopIfTrue="1" operator="lessThan" id="{4EA16653-4798-4D30-8E4D-B0EBF14BB2DD}">
            <xm:f>INDEX('1.Locations'!F2:F21,BS19 + 1)</xm:f>
            <x14:dxf>
              <fill>
                <patternFill>
                  <bgColor indexed="52"/>
                </patternFill>
              </fill>
            </x14:dxf>
          </x14:cfRule>
          <xm:sqref>BX19</xm:sqref>
        </x14:conditionalFormatting>
        <x14:conditionalFormatting xmlns:xm="http://schemas.microsoft.com/office/excel/2006/main">
          <x14:cfRule type="expression" priority="355" stopIfTrue="1" id="{DFA8C386-29B7-479D-9BA1-D13FCDED5949}">
            <xm:f>(60 * HOUR(BX19) + MINUTE(BX19)) &gt;(60 * HOUR(INDEX('1.Locations'!G2:G21,BS19 + 1)) +MINUTE(INDEX('1.Locations'!G2:G21,BS19 + 1)))</xm:f>
            <x14:dxf>
              <fill>
                <patternFill>
                  <bgColor indexed="52"/>
                </patternFill>
              </fill>
            </x14:dxf>
          </x14:cfRule>
          <xm:sqref>BX19</xm:sqref>
        </x14:conditionalFormatting>
        <x14:conditionalFormatting xmlns:xm="http://schemas.microsoft.com/office/excel/2006/main">
          <x14:cfRule type="expression" priority="356" stopIfTrue="1" id="{25D14A77-5F65-4EB6-8E9B-EF80AC2DF322}">
            <xm:f>(60 * HOUR(BY19) + MINUTE(BY19)) &gt;(60 * HOUR(INDEX('1.Locations'!G2:G21,BS19 + 1)) +MINUTE(INDEX('1.Locations'!G2:G21,BS19 + 1)))</xm:f>
            <x14:dxf>
              <fill>
                <patternFill>
                  <bgColor indexed="52"/>
                </patternFill>
              </fill>
            </x14:dxf>
          </x14:cfRule>
          <xm:sqref>BY19</xm:sqref>
        </x14:conditionalFormatting>
        <x14:conditionalFormatting xmlns:xm="http://schemas.microsoft.com/office/excel/2006/main">
          <x14:cfRule type="cellIs" priority="357" stopIfTrue="1" operator="lessThan" id="{5BDAACE4-E476-4E2A-93BA-A83A2A3C34C8}">
            <xm:f>INDEX('1.Locations'!F2:F21,BS20 + 1)</xm:f>
            <x14:dxf>
              <fill>
                <patternFill>
                  <bgColor indexed="52"/>
                </patternFill>
              </fill>
            </x14:dxf>
          </x14:cfRule>
          <xm:sqref>BX20</xm:sqref>
        </x14:conditionalFormatting>
        <x14:conditionalFormatting xmlns:xm="http://schemas.microsoft.com/office/excel/2006/main">
          <x14:cfRule type="expression" priority="358" stopIfTrue="1" id="{0C77477C-D4DC-4878-A737-E3CDAD2BFC51}">
            <xm:f>(60 * HOUR(BX20) + MINUTE(BX20)) &gt;(60 * HOUR(INDEX('1.Locations'!G2:G21,BS20 + 1)) +MINUTE(INDEX('1.Locations'!G2:G21,BS20 + 1)))</xm:f>
            <x14:dxf>
              <fill>
                <patternFill>
                  <bgColor indexed="52"/>
                </patternFill>
              </fill>
            </x14:dxf>
          </x14:cfRule>
          <xm:sqref>BX20</xm:sqref>
        </x14:conditionalFormatting>
        <x14:conditionalFormatting xmlns:xm="http://schemas.microsoft.com/office/excel/2006/main">
          <x14:cfRule type="expression" priority="359" stopIfTrue="1" id="{0E4B4AFF-F971-408C-9AC7-1B7C62D0389C}">
            <xm:f>(60 * HOUR(BY20) + MINUTE(BY20)) &gt;(60 * HOUR(INDEX('1.Locations'!G2:G21,BS20 + 1)) +MINUTE(INDEX('1.Locations'!G2:G21,BS20 + 1)))</xm:f>
            <x14:dxf>
              <fill>
                <patternFill>
                  <bgColor indexed="52"/>
                </patternFill>
              </fill>
            </x14:dxf>
          </x14:cfRule>
          <xm:sqref>BY20</xm:sqref>
        </x14:conditionalFormatting>
        <x14:conditionalFormatting xmlns:xm="http://schemas.microsoft.com/office/excel/2006/main">
          <x14:cfRule type="cellIs" priority="360" stopIfTrue="1" operator="lessThan" id="{9843E7F4-A7C4-4F03-98F3-43E139A25A2B}">
            <xm:f>INDEX('1.Locations'!F2:F21,BS21 + 1)</xm:f>
            <x14:dxf>
              <fill>
                <patternFill>
                  <bgColor indexed="52"/>
                </patternFill>
              </fill>
            </x14:dxf>
          </x14:cfRule>
          <xm:sqref>BX21</xm:sqref>
        </x14:conditionalFormatting>
        <x14:conditionalFormatting xmlns:xm="http://schemas.microsoft.com/office/excel/2006/main">
          <x14:cfRule type="expression" priority="361" stopIfTrue="1" id="{44F59692-0255-4C65-9E9D-1FF08A55B4EC}">
            <xm:f>(60 * HOUR(BX21) + MINUTE(BX21)) &gt;(60 * HOUR(INDEX('1.Locations'!G2:G21,BS21 + 1)) +MINUTE(INDEX('1.Locations'!G2:G21,BS21 + 1)))</xm:f>
            <x14:dxf>
              <fill>
                <patternFill>
                  <bgColor indexed="52"/>
                </patternFill>
              </fill>
            </x14:dxf>
          </x14:cfRule>
          <xm:sqref>BX21</xm:sqref>
        </x14:conditionalFormatting>
        <x14:conditionalFormatting xmlns:xm="http://schemas.microsoft.com/office/excel/2006/main">
          <x14:cfRule type="expression" priority="362" stopIfTrue="1" id="{A45FBE17-B891-4B6A-B064-01652B6587E0}">
            <xm:f>(60 * HOUR(BY21) + MINUTE(BY21)) &gt;(60 * HOUR(INDEX('1.Locations'!G2:G21,BS21 + 1)) +MINUTE(INDEX('1.Locations'!G2:G21,BS21 + 1)))</xm:f>
            <x14:dxf>
              <fill>
                <patternFill>
                  <bgColor indexed="52"/>
                </patternFill>
              </fill>
            </x14:dxf>
          </x14:cfRule>
          <xm:sqref>BY21</xm:sqref>
        </x14:conditionalFormatting>
        <x14:conditionalFormatting xmlns:xm="http://schemas.microsoft.com/office/excel/2006/main">
          <x14:cfRule type="cellIs" priority="363" stopIfTrue="1" operator="lessThan" id="{A6B373E5-8493-4571-A6ED-960DC1BDFB3D}">
            <xm:f>INDEX('1.Locations'!F2:F21,BS22 + 1)</xm:f>
            <x14:dxf>
              <fill>
                <patternFill>
                  <bgColor indexed="52"/>
                </patternFill>
              </fill>
            </x14:dxf>
          </x14:cfRule>
          <xm:sqref>BX22</xm:sqref>
        </x14:conditionalFormatting>
        <x14:conditionalFormatting xmlns:xm="http://schemas.microsoft.com/office/excel/2006/main">
          <x14:cfRule type="expression" priority="364" stopIfTrue="1" id="{F3DBBBDE-565C-4F76-BA38-37290DDDB5EC}">
            <xm:f>(60 * HOUR(BX22) + MINUTE(BX22)) &gt;(60 * HOUR(INDEX('1.Locations'!G2:G21,BS22 + 1)) +MINUTE(INDEX('1.Locations'!G2:G21,BS22 + 1)))</xm:f>
            <x14:dxf>
              <fill>
                <patternFill>
                  <bgColor indexed="52"/>
                </patternFill>
              </fill>
            </x14:dxf>
          </x14:cfRule>
          <xm:sqref>BX22</xm:sqref>
        </x14:conditionalFormatting>
        <x14:conditionalFormatting xmlns:xm="http://schemas.microsoft.com/office/excel/2006/main">
          <x14:cfRule type="expression" priority="365" stopIfTrue="1" id="{FE97AD1A-7B01-4416-B148-5451D886CE78}">
            <xm:f>(60 * HOUR(BY22) + MINUTE(BY22)) &gt;(60 * HOUR(INDEX('1.Locations'!G2:G21,BS22 + 1)) +MINUTE(INDEX('1.Locations'!G2:G21,BS22 + 1)))</xm:f>
            <x14:dxf>
              <fill>
                <patternFill>
                  <bgColor indexed="52"/>
                </patternFill>
              </fill>
            </x14:dxf>
          </x14:cfRule>
          <xm:sqref>BY22</xm:sqref>
        </x14:conditionalFormatting>
        <x14:conditionalFormatting xmlns:xm="http://schemas.microsoft.com/office/excel/2006/main">
          <x14:cfRule type="cellIs" priority="366" stopIfTrue="1" operator="lessThan" id="{F37F6CF6-218B-4BFC-BAC3-5576065817D5}">
            <xm:f>INDEX('1.Locations'!F2:F21,BS23 + 1)</xm:f>
            <x14:dxf>
              <fill>
                <patternFill>
                  <bgColor indexed="52"/>
                </patternFill>
              </fill>
            </x14:dxf>
          </x14:cfRule>
          <xm:sqref>BX23</xm:sqref>
        </x14:conditionalFormatting>
        <x14:conditionalFormatting xmlns:xm="http://schemas.microsoft.com/office/excel/2006/main">
          <x14:cfRule type="expression" priority="367" stopIfTrue="1" id="{3BA69654-04FA-4730-BA4E-459DE15ABA7F}">
            <xm:f>(60 * HOUR(BX23) + MINUTE(BX23)) &gt;(60 * HOUR(INDEX('1.Locations'!G2:G21,BS23 + 1)) +MINUTE(INDEX('1.Locations'!G2:G21,BS23 + 1)))</xm:f>
            <x14:dxf>
              <fill>
                <patternFill>
                  <bgColor indexed="52"/>
                </patternFill>
              </fill>
            </x14:dxf>
          </x14:cfRule>
          <xm:sqref>BX23</xm:sqref>
        </x14:conditionalFormatting>
        <x14:conditionalFormatting xmlns:xm="http://schemas.microsoft.com/office/excel/2006/main">
          <x14:cfRule type="expression" priority="368" stopIfTrue="1" id="{30C357F4-9526-4798-9920-462862C0D2A7}">
            <xm:f>(60 * HOUR(BY23) + MINUTE(BY23)) &gt;(60 * HOUR(INDEX('1.Locations'!G2:G21,BS23 + 1)) +MINUTE(INDEX('1.Locations'!G2:G21,BS23 + 1)))</xm:f>
            <x14:dxf>
              <fill>
                <patternFill>
                  <bgColor indexed="52"/>
                </patternFill>
              </fill>
            </x14:dxf>
          </x14:cfRule>
          <xm:sqref>BY23</xm:sqref>
        </x14:conditionalFormatting>
        <x14:conditionalFormatting xmlns:xm="http://schemas.microsoft.com/office/excel/2006/main">
          <x14:cfRule type="cellIs" priority="369" stopIfTrue="1" operator="lessThan" id="{C583DE4A-AE6C-442C-87AF-226996FED0B3}">
            <xm:f>INDEX('1.Locations'!F2:F21,BS24 + 1)</xm:f>
            <x14:dxf>
              <fill>
                <patternFill>
                  <bgColor indexed="52"/>
                </patternFill>
              </fill>
            </x14:dxf>
          </x14:cfRule>
          <xm:sqref>BX24</xm:sqref>
        </x14:conditionalFormatting>
        <x14:conditionalFormatting xmlns:xm="http://schemas.microsoft.com/office/excel/2006/main">
          <x14:cfRule type="expression" priority="370" stopIfTrue="1" id="{4BEB7BC6-7083-4DCE-ABC1-50B73CEBE172}">
            <xm:f>(60 * HOUR(BX24) + MINUTE(BX24)) &gt;(60 * HOUR(INDEX('1.Locations'!G2:G21,BS24 + 1)) +MINUTE(INDEX('1.Locations'!G2:G21,BS24 + 1)))</xm:f>
            <x14:dxf>
              <fill>
                <patternFill>
                  <bgColor indexed="52"/>
                </patternFill>
              </fill>
            </x14:dxf>
          </x14:cfRule>
          <xm:sqref>BX24</xm:sqref>
        </x14:conditionalFormatting>
        <x14:conditionalFormatting xmlns:xm="http://schemas.microsoft.com/office/excel/2006/main">
          <x14:cfRule type="expression" priority="371" stopIfTrue="1" id="{12E416C7-09C3-47AF-B694-E7D8CC4215F9}">
            <xm:f>(60 * HOUR(BY24) + MINUTE(BY24)) &gt;(60 * HOUR(INDEX('1.Locations'!G2:G21,BS24 + 1)) +MINUTE(INDEX('1.Locations'!G2:G21,BS24 + 1)))</xm:f>
            <x14:dxf>
              <fill>
                <patternFill>
                  <bgColor indexed="52"/>
                </patternFill>
              </fill>
            </x14:dxf>
          </x14:cfRule>
          <xm:sqref>BY24</xm:sqref>
        </x14:conditionalFormatting>
        <x14:conditionalFormatting xmlns:xm="http://schemas.microsoft.com/office/excel/2006/main">
          <x14:cfRule type="cellIs" priority="372" stopIfTrue="1" operator="lessThan" id="{40EDBF5F-89C2-4DD5-B44B-CB75AB19556E}">
            <xm:f>INDEX('1.Locations'!F2:F21,BS25 + 1)</xm:f>
            <x14:dxf>
              <fill>
                <patternFill>
                  <bgColor indexed="5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expression" priority="373" stopIfTrue="1" id="{9C145269-7A4B-4490-AF66-566464265EE3}">
            <xm:f>(60 * HOUR(BX25) + MINUTE(BX25)) &gt;(60 * HOUR(INDEX('1.Locations'!G2:G21,BS25 + 1)) +MINUTE(INDEX('1.Locations'!G2:G21,BS25 + 1)))</xm:f>
            <x14:dxf>
              <fill>
                <patternFill>
                  <bgColor indexed="5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expression" priority="374" stopIfTrue="1" id="{C4D1B9B9-9721-4158-886C-E4F8051BC2D4}">
            <xm:f>(60 * HOUR(BY25) + MINUTE(BY25)) &gt;(60 * HOUR(INDEX('1.Locations'!G2:G21,BS25 + 1)) +MINUTE(INDEX('1.Locations'!G2:G21,BS25 + 1)))</xm:f>
            <x14:dxf>
              <fill>
                <patternFill>
                  <bgColor indexed="52"/>
                </patternFill>
              </fill>
            </x14:dxf>
          </x14:cfRule>
          <xm:sqref>BY25</xm:sqref>
        </x14:conditionalFormatting>
        <x14:conditionalFormatting xmlns:xm="http://schemas.microsoft.com/office/excel/2006/main">
          <x14:cfRule type="cellIs" priority="375" stopIfTrue="1" operator="greaterThan" id="{8124ABE6-4573-4BB5-ADA9-AA2B6AEE0698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BV6:BV25</xm:sqref>
        </x14:conditionalFormatting>
        <x14:conditionalFormatting xmlns:xm="http://schemas.microsoft.com/office/excel/2006/main">
          <x14:cfRule type="cellIs" priority="376" stopIfTrue="1" operator="greaterThan" id="{E3A9224C-5097-41E4-915A-3B8DF1765405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CF6:CF25</xm:sqref>
        </x14:conditionalFormatting>
        <x14:conditionalFormatting xmlns:xm="http://schemas.microsoft.com/office/excel/2006/main">
          <x14:cfRule type="cellIs" priority="378" stopIfTrue="1" operator="greaterThan" id="{83E2FD9A-47AE-4573-B552-9FCDA091D86F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BW6:BW25</xm:sqref>
        </x14:conditionalFormatting>
        <x14:conditionalFormatting xmlns:xm="http://schemas.microsoft.com/office/excel/2006/main">
          <x14:cfRule type="cellIs" priority="379" stopIfTrue="1" operator="greaterThan" id="{6C1CE250-C4CE-465D-8CC8-A67D861EC2B9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BZ6:BZ25</xm:sqref>
        </x14:conditionalFormatting>
        <x14:conditionalFormatting xmlns:xm="http://schemas.microsoft.com/office/excel/2006/main">
          <x14:cfRule type="expression" priority="381" stopIfTrue="1" id="{FD8B42C2-BB87-4474-AA7B-6652328DE6DE}">
            <xm:f>(60 * HOUR(CO5) + MINUTE(CO5)) &gt;(60 * HOUR(INDEX('1.Locations'!G2:G21,CJ5 + 1)) +MINUTE(INDEX('1.Locations'!G2:G21,CJ5 + 1)))</xm:f>
            <x14:dxf>
              <fill>
                <patternFill>
                  <bgColor indexed="52"/>
                </patternFill>
              </fill>
            </x14:dxf>
          </x14:cfRule>
          <xm:sqref>CO5</xm:sqref>
        </x14:conditionalFormatting>
        <x14:conditionalFormatting xmlns:xm="http://schemas.microsoft.com/office/excel/2006/main">
          <x14:cfRule type="expression" priority="382" stopIfTrue="1" id="{1C3D8264-EE41-4336-A4ED-8A3161781786}">
            <xm:f>(60 * HOUR(CP5) + MINUTE(CP5)) &gt;(60 * HOUR(INDEX('1.Locations'!G2:G21,CJ5 + 1)) +MINUTE(INDEX('1.Locations'!G2:G21,CJ5 + 1)))</xm:f>
            <x14:dxf>
              <fill>
                <patternFill>
                  <bgColor indexed="52"/>
                </patternFill>
              </fill>
            </x14:dxf>
          </x14:cfRule>
          <xm:sqref>CP5</xm:sqref>
        </x14:conditionalFormatting>
        <x14:conditionalFormatting xmlns:xm="http://schemas.microsoft.com/office/excel/2006/main">
          <x14:cfRule type="cellIs" priority="383" stopIfTrue="1" operator="lessThan" id="{5E1BD686-3FFF-4912-B629-4242EEBB3B02}">
            <xm:f>INDEX('1.Locations'!F2:F21,CJ6 + 1)</xm:f>
            <x14:dxf>
              <fill>
                <patternFill>
                  <bgColor indexed="52"/>
                </patternFill>
              </fill>
            </x14:dxf>
          </x14:cfRule>
          <xm:sqref>CO6</xm:sqref>
        </x14:conditionalFormatting>
        <x14:conditionalFormatting xmlns:xm="http://schemas.microsoft.com/office/excel/2006/main">
          <x14:cfRule type="expression" priority="384" stopIfTrue="1" id="{25B16DBF-89D9-4C69-BF72-97E7B0A1381A}">
            <xm:f>(60 * HOUR(CO6) + MINUTE(CO6)) &gt;(60 * HOUR(INDEX('1.Locations'!G2:G21,CJ6 + 1)) +MINUTE(INDEX('1.Locations'!G2:G21,CJ6 + 1)))</xm:f>
            <x14:dxf>
              <fill>
                <patternFill>
                  <bgColor indexed="52"/>
                </patternFill>
              </fill>
            </x14:dxf>
          </x14:cfRule>
          <xm:sqref>CO6</xm:sqref>
        </x14:conditionalFormatting>
        <x14:conditionalFormatting xmlns:xm="http://schemas.microsoft.com/office/excel/2006/main">
          <x14:cfRule type="expression" priority="385" stopIfTrue="1" id="{744D3421-B4BD-4733-9FF6-18B8A3EC6621}">
            <xm:f>(60 * HOUR(CP6) + MINUTE(CP6)) &gt;(60 * HOUR(INDEX('1.Locations'!G2:G21,CJ6 + 1)) +MINUTE(INDEX('1.Locations'!G2:G21,CJ6 + 1)))</xm:f>
            <x14:dxf>
              <fill>
                <patternFill>
                  <bgColor indexed="52"/>
                </patternFill>
              </fill>
            </x14:dxf>
          </x14:cfRule>
          <xm:sqref>CP6</xm:sqref>
        </x14:conditionalFormatting>
        <x14:conditionalFormatting xmlns:xm="http://schemas.microsoft.com/office/excel/2006/main">
          <x14:cfRule type="cellIs" priority="386" stopIfTrue="1" operator="lessThan" id="{2ECF8ADF-71AE-48DE-B230-5E8FE27A6A7D}">
            <xm:f>INDEX('1.Locations'!F2:F21,CJ7 + 1)</xm:f>
            <x14:dxf>
              <fill>
                <patternFill>
                  <bgColor indexed="52"/>
                </patternFill>
              </fill>
            </x14:dxf>
          </x14:cfRule>
          <xm:sqref>CO7</xm:sqref>
        </x14:conditionalFormatting>
        <x14:conditionalFormatting xmlns:xm="http://schemas.microsoft.com/office/excel/2006/main">
          <x14:cfRule type="expression" priority="387" stopIfTrue="1" id="{0354D675-D2A8-417D-A64B-086AB38F4F7F}">
            <xm:f>(60 * HOUR(CO7) + MINUTE(CO7)) &gt;(60 * HOUR(INDEX('1.Locations'!G2:G21,CJ7 + 1)) +MINUTE(INDEX('1.Locations'!G2:G21,CJ7 + 1)))</xm:f>
            <x14:dxf>
              <fill>
                <patternFill>
                  <bgColor indexed="52"/>
                </patternFill>
              </fill>
            </x14:dxf>
          </x14:cfRule>
          <xm:sqref>CO7</xm:sqref>
        </x14:conditionalFormatting>
        <x14:conditionalFormatting xmlns:xm="http://schemas.microsoft.com/office/excel/2006/main">
          <x14:cfRule type="expression" priority="388" stopIfTrue="1" id="{77EC7DE0-4CA8-490C-AA5F-B5601A2017CF}">
            <xm:f>(60 * HOUR(CP7) + MINUTE(CP7)) &gt;(60 * HOUR(INDEX('1.Locations'!G2:G21,CJ7 + 1)) +MINUTE(INDEX('1.Locations'!G2:G21,CJ7 + 1)))</xm:f>
            <x14:dxf>
              <fill>
                <patternFill>
                  <bgColor indexed="52"/>
                </patternFill>
              </fill>
            </x14:dxf>
          </x14:cfRule>
          <xm:sqref>CP7</xm:sqref>
        </x14:conditionalFormatting>
        <x14:conditionalFormatting xmlns:xm="http://schemas.microsoft.com/office/excel/2006/main">
          <x14:cfRule type="cellIs" priority="389" stopIfTrue="1" operator="lessThan" id="{AA13A5C0-AC3C-47E2-A3DD-5AA256AAB049}">
            <xm:f>INDEX('1.Locations'!F2:F21,CJ8 + 1)</xm:f>
            <x14:dxf>
              <fill>
                <patternFill>
                  <bgColor indexed="52"/>
                </patternFill>
              </fill>
            </x14:dxf>
          </x14:cfRule>
          <xm:sqref>CO8</xm:sqref>
        </x14:conditionalFormatting>
        <x14:conditionalFormatting xmlns:xm="http://schemas.microsoft.com/office/excel/2006/main">
          <x14:cfRule type="expression" priority="390" stopIfTrue="1" id="{3F010D58-0B94-4F89-9AAF-EE444BD20FE1}">
            <xm:f>(60 * HOUR(CO8) + MINUTE(CO8)) &gt;(60 * HOUR(INDEX('1.Locations'!G2:G21,CJ8 + 1)) +MINUTE(INDEX('1.Locations'!G2:G21,CJ8 + 1)))</xm:f>
            <x14:dxf>
              <fill>
                <patternFill>
                  <bgColor indexed="52"/>
                </patternFill>
              </fill>
            </x14:dxf>
          </x14:cfRule>
          <xm:sqref>CO8</xm:sqref>
        </x14:conditionalFormatting>
        <x14:conditionalFormatting xmlns:xm="http://schemas.microsoft.com/office/excel/2006/main">
          <x14:cfRule type="expression" priority="391" stopIfTrue="1" id="{FB4F6EDC-4EF8-4D82-B16C-4DD62328905D}">
            <xm:f>(60 * HOUR(CP8) + MINUTE(CP8)) &gt;(60 * HOUR(INDEX('1.Locations'!G2:G21,CJ8 + 1)) +MINUTE(INDEX('1.Locations'!G2:G21,CJ8 + 1)))</xm:f>
            <x14:dxf>
              <fill>
                <patternFill>
                  <bgColor indexed="52"/>
                </patternFill>
              </fill>
            </x14:dxf>
          </x14:cfRule>
          <xm:sqref>CP8</xm:sqref>
        </x14:conditionalFormatting>
        <x14:conditionalFormatting xmlns:xm="http://schemas.microsoft.com/office/excel/2006/main">
          <x14:cfRule type="cellIs" priority="392" stopIfTrue="1" operator="lessThan" id="{94667122-AB53-4C9E-A542-48125076DBE3}">
            <xm:f>INDEX('1.Locations'!F2:F21,CJ9 + 1)</xm:f>
            <x14:dxf>
              <fill>
                <patternFill>
                  <bgColor indexed="52"/>
                </patternFill>
              </fill>
            </x14:dxf>
          </x14:cfRule>
          <xm:sqref>CO9</xm:sqref>
        </x14:conditionalFormatting>
        <x14:conditionalFormatting xmlns:xm="http://schemas.microsoft.com/office/excel/2006/main">
          <x14:cfRule type="expression" priority="393" stopIfTrue="1" id="{C4F039A8-DD1D-4335-BFD4-4442E580759C}">
            <xm:f>(60 * HOUR(CO9) + MINUTE(CO9)) &gt;(60 * HOUR(INDEX('1.Locations'!G2:G21,CJ9 + 1)) +MINUTE(INDEX('1.Locations'!G2:G21,CJ9 + 1)))</xm:f>
            <x14:dxf>
              <fill>
                <patternFill>
                  <bgColor indexed="52"/>
                </patternFill>
              </fill>
            </x14:dxf>
          </x14:cfRule>
          <xm:sqref>CO9</xm:sqref>
        </x14:conditionalFormatting>
        <x14:conditionalFormatting xmlns:xm="http://schemas.microsoft.com/office/excel/2006/main">
          <x14:cfRule type="expression" priority="394" stopIfTrue="1" id="{1AE5ADB2-71AA-4906-8223-37692281D022}">
            <xm:f>(60 * HOUR(CP9) + MINUTE(CP9)) &gt;(60 * HOUR(INDEX('1.Locations'!G2:G21,CJ9 + 1)) +MINUTE(INDEX('1.Locations'!G2:G21,CJ9 + 1)))</xm:f>
            <x14:dxf>
              <fill>
                <patternFill>
                  <bgColor indexed="52"/>
                </patternFill>
              </fill>
            </x14:dxf>
          </x14:cfRule>
          <xm:sqref>CP9</xm:sqref>
        </x14:conditionalFormatting>
        <x14:conditionalFormatting xmlns:xm="http://schemas.microsoft.com/office/excel/2006/main">
          <x14:cfRule type="cellIs" priority="395" stopIfTrue="1" operator="lessThan" id="{7604F63A-DAEE-45FC-B81D-2191AA04AD9E}">
            <xm:f>INDEX('1.Locations'!F2:F21,CJ10 + 1)</xm:f>
            <x14:dxf>
              <fill>
                <patternFill>
                  <bgColor indexed="52"/>
                </patternFill>
              </fill>
            </x14:dxf>
          </x14:cfRule>
          <xm:sqref>CO10</xm:sqref>
        </x14:conditionalFormatting>
        <x14:conditionalFormatting xmlns:xm="http://schemas.microsoft.com/office/excel/2006/main">
          <x14:cfRule type="expression" priority="396" stopIfTrue="1" id="{EC1785D8-6673-4E1A-A104-1F2F82ABA804}">
            <xm:f>(60 * HOUR(CO10) + MINUTE(CO10)) &gt;(60 * HOUR(INDEX('1.Locations'!G2:G21,CJ10 + 1)) +MINUTE(INDEX('1.Locations'!G2:G21,CJ10 + 1)))</xm:f>
            <x14:dxf>
              <fill>
                <patternFill>
                  <bgColor indexed="52"/>
                </patternFill>
              </fill>
            </x14:dxf>
          </x14:cfRule>
          <xm:sqref>CO10</xm:sqref>
        </x14:conditionalFormatting>
        <x14:conditionalFormatting xmlns:xm="http://schemas.microsoft.com/office/excel/2006/main">
          <x14:cfRule type="expression" priority="397" stopIfTrue="1" id="{1C41DD44-8C72-4920-A155-ABFABD33F291}">
            <xm:f>(60 * HOUR(CP10) + MINUTE(CP10)) &gt;(60 * HOUR(INDEX('1.Locations'!G2:G21,CJ10 + 1)) +MINUTE(INDEX('1.Locations'!G2:G21,CJ10 + 1)))</xm:f>
            <x14:dxf>
              <fill>
                <patternFill>
                  <bgColor indexed="52"/>
                </patternFill>
              </fill>
            </x14:dxf>
          </x14:cfRule>
          <xm:sqref>CP10</xm:sqref>
        </x14:conditionalFormatting>
        <x14:conditionalFormatting xmlns:xm="http://schemas.microsoft.com/office/excel/2006/main">
          <x14:cfRule type="cellIs" priority="398" stopIfTrue="1" operator="lessThan" id="{7748B701-8DDD-4AE6-87B7-0AD14349C1FA}">
            <xm:f>INDEX('1.Locations'!F2:F21,CJ11 + 1)</xm:f>
            <x14:dxf>
              <fill>
                <patternFill>
                  <bgColor indexed="52"/>
                </patternFill>
              </fill>
            </x14:dxf>
          </x14:cfRule>
          <xm:sqref>CO11</xm:sqref>
        </x14:conditionalFormatting>
        <x14:conditionalFormatting xmlns:xm="http://schemas.microsoft.com/office/excel/2006/main">
          <x14:cfRule type="expression" priority="399" stopIfTrue="1" id="{2AD93FF5-9BAC-401C-8380-5D026D3A3208}">
            <xm:f>(60 * HOUR(CO11) + MINUTE(CO11)) &gt;(60 * HOUR(INDEX('1.Locations'!G2:G21,CJ11 + 1)) +MINUTE(INDEX('1.Locations'!G2:G21,CJ11 + 1)))</xm:f>
            <x14:dxf>
              <fill>
                <patternFill>
                  <bgColor indexed="52"/>
                </patternFill>
              </fill>
            </x14:dxf>
          </x14:cfRule>
          <xm:sqref>CO11</xm:sqref>
        </x14:conditionalFormatting>
        <x14:conditionalFormatting xmlns:xm="http://schemas.microsoft.com/office/excel/2006/main">
          <x14:cfRule type="expression" priority="400" stopIfTrue="1" id="{103100D2-C389-4139-B4C3-CB193C77F4E7}">
            <xm:f>(60 * HOUR(CP11) + MINUTE(CP11)) &gt;(60 * HOUR(INDEX('1.Locations'!G2:G21,CJ11 + 1)) +MINUTE(INDEX('1.Locations'!G2:G21,CJ11 + 1)))</xm:f>
            <x14:dxf>
              <fill>
                <patternFill>
                  <bgColor indexed="52"/>
                </patternFill>
              </fill>
            </x14:dxf>
          </x14:cfRule>
          <xm:sqref>CP11</xm:sqref>
        </x14:conditionalFormatting>
        <x14:conditionalFormatting xmlns:xm="http://schemas.microsoft.com/office/excel/2006/main">
          <x14:cfRule type="cellIs" priority="401" stopIfTrue="1" operator="lessThan" id="{867C6BC7-2D64-4F7A-B3B9-59DB0EA595CA}">
            <xm:f>INDEX('1.Locations'!F2:F21,CJ12 + 1)</xm:f>
            <x14:dxf>
              <fill>
                <patternFill>
                  <bgColor indexed="52"/>
                </patternFill>
              </fill>
            </x14:dxf>
          </x14:cfRule>
          <xm:sqref>CO12</xm:sqref>
        </x14:conditionalFormatting>
        <x14:conditionalFormatting xmlns:xm="http://schemas.microsoft.com/office/excel/2006/main">
          <x14:cfRule type="expression" priority="402" stopIfTrue="1" id="{E0CFF17E-E587-4373-899E-A212DFA4311A}">
            <xm:f>(60 * HOUR(CO12) + MINUTE(CO12)) &gt;(60 * HOUR(INDEX('1.Locations'!G2:G21,CJ12 + 1)) +MINUTE(INDEX('1.Locations'!G2:G21,CJ12 + 1)))</xm:f>
            <x14:dxf>
              <fill>
                <patternFill>
                  <bgColor indexed="52"/>
                </patternFill>
              </fill>
            </x14:dxf>
          </x14:cfRule>
          <xm:sqref>CO12</xm:sqref>
        </x14:conditionalFormatting>
        <x14:conditionalFormatting xmlns:xm="http://schemas.microsoft.com/office/excel/2006/main">
          <x14:cfRule type="expression" priority="403" stopIfTrue="1" id="{E390B574-6F93-42CC-87F5-A25FEC557CF3}">
            <xm:f>(60 * HOUR(CP12) + MINUTE(CP12)) &gt;(60 * HOUR(INDEX('1.Locations'!G2:G21,CJ12 + 1)) +MINUTE(INDEX('1.Locations'!G2:G21,CJ12 + 1)))</xm:f>
            <x14:dxf>
              <fill>
                <patternFill>
                  <bgColor indexed="52"/>
                </patternFill>
              </fill>
            </x14:dxf>
          </x14:cfRule>
          <xm:sqref>CP12</xm:sqref>
        </x14:conditionalFormatting>
        <x14:conditionalFormatting xmlns:xm="http://schemas.microsoft.com/office/excel/2006/main">
          <x14:cfRule type="cellIs" priority="404" stopIfTrue="1" operator="lessThan" id="{7C200C48-9796-48D9-B919-C1E6CA1C5B86}">
            <xm:f>INDEX('1.Locations'!F2:F21,CJ13 + 1)</xm:f>
            <x14:dxf>
              <fill>
                <patternFill>
                  <bgColor indexed="52"/>
                </patternFill>
              </fill>
            </x14:dxf>
          </x14:cfRule>
          <xm:sqref>CO13</xm:sqref>
        </x14:conditionalFormatting>
        <x14:conditionalFormatting xmlns:xm="http://schemas.microsoft.com/office/excel/2006/main">
          <x14:cfRule type="expression" priority="405" stopIfTrue="1" id="{BFA19BFE-AE70-45F1-BFD4-E52BBFADA42A}">
            <xm:f>(60 * HOUR(CO13) + MINUTE(CO13)) &gt;(60 * HOUR(INDEX('1.Locations'!G2:G21,CJ13 + 1)) +MINUTE(INDEX('1.Locations'!G2:G21,CJ13 + 1)))</xm:f>
            <x14:dxf>
              <fill>
                <patternFill>
                  <bgColor indexed="52"/>
                </patternFill>
              </fill>
            </x14:dxf>
          </x14:cfRule>
          <xm:sqref>CO13</xm:sqref>
        </x14:conditionalFormatting>
        <x14:conditionalFormatting xmlns:xm="http://schemas.microsoft.com/office/excel/2006/main">
          <x14:cfRule type="expression" priority="406" stopIfTrue="1" id="{31EA5DE0-623E-452E-B4DE-2C313A8DA8B5}">
            <xm:f>(60 * HOUR(CP13) + MINUTE(CP13)) &gt;(60 * HOUR(INDEX('1.Locations'!G2:G21,CJ13 + 1)) +MINUTE(INDEX('1.Locations'!G2:G21,CJ13 + 1)))</xm:f>
            <x14:dxf>
              <fill>
                <patternFill>
                  <bgColor indexed="52"/>
                </patternFill>
              </fill>
            </x14:dxf>
          </x14:cfRule>
          <xm:sqref>CP13</xm:sqref>
        </x14:conditionalFormatting>
        <x14:conditionalFormatting xmlns:xm="http://schemas.microsoft.com/office/excel/2006/main">
          <x14:cfRule type="cellIs" priority="407" stopIfTrue="1" operator="lessThan" id="{F75E75EE-59D9-4AAA-AEFE-7459DFF33FB8}">
            <xm:f>INDEX('1.Locations'!F2:F21,CJ14 + 1)</xm:f>
            <x14:dxf>
              <fill>
                <patternFill>
                  <bgColor indexed="52"/>
                </patternFill>
              </fill>
            </x14:dxf>
          </x14:cfRule>
          <xm:sqref>CO14</xm:sqref>
        </x14:conditionalFormatting>
        <x14:conditionalFormatting xmlns:xm="http://schemas.microsoft.com/office/excel/2006/main">
          <x14:cfRule type="expression" priority="408" stopIfTrue="1" id="{93EFA2EF-AA99-4694-A10A-E687286900F4}">
            <xm:f>(60 * HOUR(CO14) + MINUTE(CO14)) &gt;(60 * HOUR(INDEX('1.Locations'!G2:G21,CJ14 + 1)) +MINUTE(INDEX('1.Locations'!G2:G21,CJ14 + 1)))</xm:f>
            <x14:dxf>
              <fill>
                <patternFill>
                  <bgColor indexed="52"/>
                </patternFill>
              </fill>
            </x14:dxf>
          </x14:cfRule>
          <xm:sqref>CO14</xm:sqref>
        </x14:conditionalFormatting>
        <x14:conditionalFormatting xmlns:xm="http://schemas.microsoft.com/office/excel/2006/main">
          <x14:cfRule type="expression" priority="409" stopIfTrue="1" id="{A3F95255-E35C-4217-9813-5F09D9DC1DA4}">
            <xm:f>(60 * HOUR(CP14) + MINUTE(CP14)) &gt;(60 * HOUR(INDEX('1.Locations'!G2:G21,CJ14 + 1)) +MINUTE(INDEX('1.Locations'!G2:G21,CJ14 + 1)))</xm:f>
            <x14:dxf>
              <fill>
                <patternFill>
                  <bgColor indexed="52"/>
                </patternFill>
              </fill>
            </x14:dxf>
          </x14:cfRule>
          <xm:sqref>CP14</xm:sqref>
        </x14:conditionalFormatting>
        <x14:conditionalFormatting xmlns:xm="http://schemas.microsoft.com/office/excel/2006/main">
          <x14:cfRule type="cellIs" priority="410" stopIfTrue="1" operator="lessThan" id="{D96E7AB4-31D6-480F-AB00-42DE97FFBADD}">
            <xm:f>INDEX('1.Locations'!F2:F21,CJ15 + 1)</xm:f>
            <x14:dxf>
              <fill>
                <patternFill>
                  <bgColor indexed="52"/>
                </patternFill>
              </fill>
            </x14:dxf>
          </x14:cfRule>
          <xm:sqref>CO15</xm:sqref>
        </x14:conditionalFormatting>
        <x14:conditionalFormatting xmlns:xm="http://schemas.microsoft.com/office/excel/2006/main">
          <x14:cfRule type="expression" priority="411" stopIfTrue="1" id="{6DC78EA8-DA18-49DF-96CA-1B4382CC989C}">
            <xm:f>(60 * HOUR(CO15) + MINUTE(CO15)) &gt;(60 * HOUR(INDEX('1.Locations'!G2:G21,CJ15 + 1)) +MINUTE(INDEX('1.Locations'!G2:G21,CJ15 + 1)))</xm:f>
            <x14:dxf>
              <fill>
                <patternFill>
                  <bgColor indexed="52"/>
                </patternFill>
              </fill>
            </x14:dxf>
          </x14:cfRule>
          <xm:sqref>CO15</xm:sqref>
        </x14:conditionalFormatting>
        <x14:conditionalFormatting xmlns:xm="http://schemas.microsoft.com/office/excel/2006/main">
          <x14:cfRule type="expression" priority="412" stopIfTrue="1" id="{3A9A3B19-39F2-4458-B794-4C7F36600BEA}">
            <xm:f>(60 * HOUR(CP15) + MINUTE(CP15)) &gt;(60 * HOUR(INDEX('1.Locations'!G2:G21,CJ15 + 1)) +MINUTE(INDEX('1.Locations'!G2:G21,CJ15 + 1)))</xm:f>
            <x14:dxf>
              <fill>
                <patternFill>
                  <bgColor indexed="52"/>
                </patternFill>
              </fill>
            </x14:dxf>
          </x14:cfRule>
          <xm:sqref>CP15</xm:sqref>
        </x14:conditionalFormatting>
        <x14:conditionalFormatting xmlns:xm="http://schemas.microsoft.com/office/excel/2006/main">
          <x14:cfRule type="cellIs" priority="413" stopIfTrue="1" operator="lessThan" id="{E51091D3-ADB4-44E7-8A16-430E500C5FD6}">
            <xm:f>INDEX('1.Locations'!F2:F21,CJ16 + 1)</xm:f>
            <x14:dxf>
              <fill>
                <patternFill>
                  <bgColor indexed="52"/>
                </patternFill>
              </fill>
            </x14:dxf>
          </x14:cfRule>
          <xm:sqref>CO16</xm:sqref>
        </x14:conditionalFormatting>
        <x14:conditionalFormatting xmlns:xm="http://schemas.microsoft.com/office/excel/2006/main">
          <x14:cfRule type="expression" priority="414" stopIfTrue="1" id="{86DD8E7A-E368-4754-94CF-3DCD643C8BFE}">
            <xm:f>(60 * HOUR(CO16) + MINUTE(CO16)) &gt;(60 * HOUR(INDEX('1.Locations'!G2:G21,CJ16 + 1)) +MINUTE(INDEX('1.Locations'!G2:G21,CJ16 + 1)))</xm:f>
            <x14:dxf>
              <fill>
                <patternFill>
                  <bgColor indexed="52"/>
                </patternFill>
              </fill>
            </x14:dxf>
          </x14:cfRule>
          <xm:sqref>CO16</xm:sqref>
        </x14:conditionalFormatting>
        <x14:conditionalFormatting xmlns:xm="http://schemas.microsoft.com/office/excel/2006/main">
          <x14:cfRule type="expression" priority="415" stopIfTrue="1" id="{DA319DB2-9DF5-4F61-83DD-680F660658F6}">
            <xm:f>(60 * HOUR(CP16) + MINUTE(CP16)) &gt;(60 * HOUR(INDEX('1.Locations'!G2:G21,CJ16 + 1)) +MINUTE(INDEX('1.Locations'!G2:G21,CJ16 + 1)))</xm:f>
            <x14:dxf>
              <fill>
                <patternFill>
                  <bgColor indexed="52"/>
                </patternFill>
              </fill>
            </x14:dxf>
          </x14:cfRule>
          <xm:sqref>CP16</xm:sqref>
        </x14:conditionalFormatting>
        <x14:conditionalFormatting xmlns:xm="http://schemas.microsoft.com/office/excel/2006/main">
          <x14:cfRule type="cellIs" priority="416" stopIfTrue="1" operator="lessThan" id="{3B16B9CF-6BAC-4C69-8659-0791A27B16DC}">
            <xm:f>INDEX('1.Locations'!F2:F21,CJ17 + 1)</xm:f>
            <x14:dxf>
              <fill>
                <patternFill>
                  <bgColor indexed="52"/>
                </patternFill>
              </fill>
            </x14:dxf>
          </x14:cfRule>
          <xm:sqref>CO17</xm:sqref>
        </x14:conditionalFormatting>
        <x14:conditionalFormatting xmlns:xm="http://schemas.microsoft.com/office/excel/2006/main">
          <x14:cfRule type="expression" priority="417" stopIfTrue="1" id="{992FF45F-9900-4E48-B7AC-ECD390E121BB}">
            <xm:f>(60 * HOUR(CO17) + MINUTE(CO17)) &gt;(60 * HOUR(INDEX('1.Locations'!G2:G21,CJ17 + 1)) +MINUTE(INDEX('1.Locations'!G2:G21,CJ17 + 1)))</xm:f>
            <x14:dxf>
              <fill>
                <patternFill>
                  <bgColor indexed="52"/>
                </patternFill>
              </fill>
            </x14:dxf>
          </x14:cfRule>
          <xm:sqref>CO17</xm:sqref>
        </x14:conditionalFormatting>
        <x14:conditionalFormatting xmlns:xm="http://schemas.microsoft.com/office/excel/2006/main">
          <x14:cfRule type="expression" priority="418" stopIfTrue="1" id="{FB24DE19-53B4-4D05-993D-8E1A4758EEB1}">
            <xm:f>(60 * HOUR(CP17) + MINUTE(CP17)) &gt;(60 * HOUR(INDEX('1.Locations'!G2:G21,CJ17 + 1)) +MINUTE(INDEX('1.Locations'!G2:G21,CJ17 + 1)))</xm:f>
            <x14:dxf>
              <fill>
                <patternFill>
                  <bgColor indexed="52"/>
                </patternFill>
              </fill>
            </x14:dxf>
          </x14:cfRule>
          <xm:sqref>CP17</xm:sqref>
        </x14:conditionalFormatting>
        <x14:conditionalFormatting xmlns:xm="http://schemas.microsoft.com/office/excel/2006/main">
          <x14:cfRule type="cellIs" priority="419" stopIfTrue="1" operator="lessThan" id="{5BF78964-3C75-4C2B-A9D6-C6BE5ECE0623}">
            <xm:f>INDEX('1.Locations'!F2:F21,CJ18 + 1)</xm:f>
            <x14:dxf>
              <fill>
                <patternFill>
                  <bgColor indexed="52"/>
                </patternFill>
              </fill>
            </x14:dxf>
          </x14:cfRule>
          <xm:sqref>CO18</xm:sqref>
        </x14:conditionalFormatting>
        <x14:conditionalFormatting xmlns:xm="http://schemas.microsoft.com/office/excel/2006/main">
          <x14:cfRule type="expression" priority="420" stopIfTrue="1" id="{B9885CC3-9D0E-4E7F-8A87-6EDB1E6483C4}">
            <xm:f>(60 * HOUR(CO18) + MINUTE(CO18)) &gt;(60 * HOUR(INDEX('1.Locations'!G2:G21,CJ18 + 1)) +MINUTE(INDEX('1.Locations'!G2:G21,CJ18 + 1)))</xm:f>
            <x14:dxf>
              <fill>
                <patternFill>
                  <bgColor indexed="52"/>
                </patternFill>
              </fill>
            </x14:dxf>
          </x14:cfRule>
          <xm:sqref>CO18</xm:sqref>
        </x14:conditionalFormatting>
        <x14:conditionalFormatting xmlns:xm="http://schemas.microsoft.com/office/excel/2006/main">
          <x14:cfRule type="expression" priority="421" stopIfTrue="1" id="{726A8530-44C3-45A9-BC22-2C1A332406D4}">
            <xm:f>(60 * HOUR(CP18) + MINUTE(CP18)) &gt;(60 * HOUR(INDEX('1.Locations'!G2:G21,CJ18 + 1)) +MINUTE(INDEX('1.Locations'!G2:G21,CJ18 + 1)))</xm:f>
            <x14:dxf>
              <fill>
                <patternFill>
                  <bgColor indexed="52"/>
                </patternFill>
              </fill>
            </x14:dxf>
          </x14:cfRule>
          <xm:sqref>CP18</xm:sqref>
        </x14:conditionalFormatting>
        <x14:conditionalFormatting xmlns:xm="http://schemas.microsoft.com/office/excel/2006/main">
          <x14:cfRule type="cellIs" priority="422" stopIfTrue="1" operator="lessThan" id="{03BF92C3-CABF-4FA3-A70E-4E9B05111FCF}">
            <xm:f>INDEX('1.Locations'!F2:F21,CJ19 + 1)</xm:f>
            <x14:dxf>
              <fill>
                <patternFill>
                  <bgColor indexed="52"/>
                </patternFill>
              </fill>
            </x14:dxf>
          </x14:cfRule>
          <xm:sqref>CO19</xm:sqref>
        </x14:conditionalFormatting>
        <x14:conditionalFormatting xmlns:xm="http://schemas.microsoft.com/office/excel/2006/main">
          <x14:cfRule type="expression" priority="423" stopIfTrue="1" id="{10744BF7-1CF7-447B-8A09-7ECA2A408ED5}">
            <xm:f>(60 * HOUR(CO19) + MINUTE(CO19)) &gt;(60 * HOUR(INDEX('1.Locations'!G2:G21,CJ19 + 1)) +MINUTE(INDEX('1.Locations'!G2:G21,CJ19 + 1)))</xm:f>
            <x14:dxf>
              <fill>
                <patternFill>
                  <bgColor indexed="52"/>
                </patternFill>
              </fill>
            </x14:dxf>
          </x14:cfRule>
          <xm:sqref>CO19</xm:sqref>
        </x14:conditionalFormatting>
        <x14:conditionalFormatting xmlns:xm="http://schemas.microsoft.com/office/excel/2006/main">
          <x14:cfRule type="expression" priority="424" stopIfTrue="1" id="{E955C8A9-365E-46AF-A2C3-A9BC8BB78BFD}">
            <xm:f>(60 * HOUR(CP19) + MINUTE(CP19)) &gt;(60 * HOUR(INDEX('1.Locations'!G2:G21,CJ19 + 1)) +MINUTE(INDEX('1.Locations'!G2:G21,CJ19 + 1)))</xm:f>
            <x14:dxf>
              <fill>
                <patternFill>
                  <bgColor indexed="52"/>
                </patternFill>
              </fill>
            </x14:dxf>
          </x14:cfRule>
          <xm:sqref>CP19</xm:sqref>
        </x14:conditionalFormatting>
        <x14:conditionalFormatting xmlns:xm="http://schemas.microsoft.com/office/excel/2006/main">
          <x14:cfRule type="cellIs" priority="425" stopIfTrue="1" operator="lessThan" id="{28BE0124-6084-4615-A1B5-5EC031EC4A59}">
            <xm:f>INDEX('1.Locations'!F2:F21,CJ20 + 1)</xm:f>
            <x14:dxf>
              <fill>
                <patternFill>
                  <bgColor indexed="52"/>
                </patternFill>
              </fill>
            </x14:dxf>
          </x14:cfRule>
          <xm:sqref>CO20</xm:sqref>
        </x14:conditionalFormatting>
        <x14:conditionalFormatting xmlns:xm="http://schemas.microsoft.com/office/excel/2006/main">
          <x14:cfRule type="expression" priority="426" stopIfTrue="1" id="{0EBF6715-83A4-4486-BBBD-4AE13B9401E3}">
            <xm:f>(60 * HOUR(CO20) + MINUTE(CO20)) &gt;(60 * HOUR(INDEX('1.Locations'!G2:G21,CJ20 + 1)) +MINUTE(INDEX('1.Locations'!G2:G21,CJ20 + 1)))</xm:f>
            <x14:dxf>
              <fill>
                <patternFill>
                  <bgColor indexed="52"/>
                </patternFill>
              </fill>
            </x14:dxf>
          </x14:cfRule>
          <xm:sqref>CO20</xm:sqref>
        </x14:conditionalFormatting>
        <x14:conditionalFormatting xmlns:xm="http://schemas.microsoft.com/office/excel/2006/main">
          <x14:cfRule type="expression" priority="427" stopIfTrue="1" id="{A1F7B03E-142B-44C9-88A6-AA87EAC100F4}">
            <xm:f>(60 * HOUR(CP20) + MINUTE(CP20)) &gt;(60 * HOUR(INDEX('1.Locations'!G2:G21,CJ20 + 1)) +MINUTE(INDEX('1.Locations'!G2:G21,CJ20 + 1)))</xm:f>
            <x14:dxf>
              <fill>
                <patternFill>
                  <bgColor indexed="52"/>
                </patternFill>
              </fill>
            </x14:dxf>
          </x14:cfRule>
          <xm:sqref>CP20</xm:sqref>
        </x14:conditionalFormatting>
        <x14:conditionalFormatting xmlns:xm="http://schemas.microsoft.com/office/excel/2006/main">
          <x14:cfRule type="cellIs" priority="428" stopIfTrue="1" operator="lessThan" id="{D47E4246-AD00-40BC-81D5-7F07F7103F8D}">
            <xm:f>INDEX('1.Locations'!F2:F21,CJ21 + 1)</xm:f>
            <x14:dxf>
              <fill>
                <patternFill>
                  <bgColor indexed="52"/>
                </patternFill>
              </fill>
            </x14:dxf>
          </x14:cfRule>
          <xm:sqref>CO21</xm:sqref>
        </x14:conditionalFormatting>
        <x14:conditionalFormatting xmlns:xm="http://schemas.microsoft.com/office/excel/2006/main">
          <x14:cfRule type="expression" priority="429" stopIfTrue="1" id="{5C819801-2347-40C6-9C6C-AA8D36BC6619}">
            <xm:f>(60 * HOUR(CO21) + MINUTE(CO21)) &gt;(60 * HOUR(INDEX('1.Locations'!G2:G21,CJ21 + 1)) +MINUTE(INDEX('1.Locations'!G2:G21,CJ21 + 1)))</xm:f>
            <x14:dxf>
              <fill>
                <patternFill>
                  <bgColor indexed="52"/>
                </patternFill>
              </fill>
            </x14:dxf>
          </x14:cfRule>
          <xm:sqref>CO21</xm:sqref>
        </x14:conditionalFormatting>
        <x14:conditionalFormatting xmlns:xm="http://schemas.microsoft.com/office/excel/2006/main">
          <x14:cfRule type="expression" priority="430" stopIfTrue="1" id="{2CD96E83-5C1F-4A3E-9300-4DC58DFF59ED}">
            <xm:f>(60 * HOUR(CP21) + MINUTE(CP21)) &gt;(60 * HOUR(INDEX('1.Locations'!G2:G21,CJ21 + 1)) +MINUTE(INDEX('1.Locations'!G2:G21,CJ21 + 1)))</xm:f>
            <x14:dxf>
              <fill>
                <patternFill>
                  <bgColor indexed="52"/>
                </patternFill>
              </fill>
            </x14:dxf>
          </x14:cfRule>
          <xm:sqref>CP21</xm:sqref>
        </x14:conditionalFormatting>
        <x14:conditionalFormatting xmlns:xm="http://schemas.microsoft.com/office/excel/2006/main">
          <x14:cfRule type="cellIs" priority="431" stopIfTrue="1" operator="lessThan" id="{7FC56981-E8B6-429E-B789-EA3FEA776AD3}">
            <xm:f>INDEX('1.Locations'!F2:F21,CJ22 + 1)</xm:f>
            <x14:dxf>
              <fill>
                <patternFill>
                  <bgColor indexed="52"/>
                </patternFill>
              </fill>
            </x14:dxf>
          </x14:cfRule>
          <xm:sqref>CO22</xm:sqref>
        </x14:conditionalFormatting>
        <x14:conditionalFormatting xmlns:xm="http://schemas.microsoft.com/office/excel/2006/main">
          <x14:cfRule type="expression" priority="432" stopIfTrue="1" id="{82EF2EB6-688A-4E42-B0FA-45215A507F86}">
            <xm:f>(60 * HOUR(CO22) + MINUTE(CO22)) &gt;(60 * HOUR(INDEX('1.Locations'!G2:G21,CJ22 + 1)) +MINUTE(INDEX('1.Locations'!G2:G21,CJ22 + 1)))</xm:f>
            <x14:dxf>
              <fill>
                <patternFill>
                  <bgColor indexed="52"/>
                </patternFill>
              </fill>
            </x14:dxf>
          </x14:cfRule>
          <xm:sqref>CO22</xm:sqref>
        </x14:conditionalFormatting>
        <x14:conditionalFormatting xmlns:xm="http://schemas.microsoft.com/office/excel/2006/main">
          <x14:cfRule type="expression" priority="433" stopIfTrue="1" id="{56595905-507D-49AE-B349-2B8A790DA801}">
            <xm:f>(60 * HOUR(CP22) + MINUTE(CP22)) &gt;(60 * HOUR(INDEX('1.Locations'!G2:G21,CJ22 + 1)) +MINUTE(INDEX('1.Locations'!G2:G21,CJ22 + 1)))</xm:f>
            <x14:dxf>
              <fill>
                <patternFill>
                  <bgColor indexed="52"/>
                </patternFill>
              </fill>
            </x14:dxf>
          </x14:cfRule>
          <xm:sqref>CP22</xm:sqref>
        </x14:conditionalFormatting>
        <x14:conditionalFormatting xmlns:xm="http://schemas.microsoft.com/office/excel/2006/main">
          <x14:cfRule type="cellIs" priority="434" stopIfTrue="1" operator="lessThan" id="{363E131C-508A-40DF-AEB3-BD5E744C3066}">
            <xm:f>INDEX('1.Locations'!F2:F21,CJ23 + 1)</xm:f>
            <x14:dxf>
              <fill>
                <patternFill>
                  <bgColor indexed="52"/>
                </patternFill>
              </fill>
            </x14:dxf>
          </x14:cfRule>
          <xm:sqref>CO23</xm:sqref>
        </x14:conditionalFormatting>
        <x14:conditionalFormatting xmlns:xm="http://schemas.microsoft.com/office/excel/2006/main">
          <x14:cfRule type="expression" priority="435" stopIfTrue="1" id="{1956EE31-E0A7-4376-86E3-F2A45DCB48C6}">
            <xm:f>(60 * HOUR(CO23) + MINUTE(CO23)) &gt;(60 * HOUR(INDEX('1.Locations'!G2:G21,CJ23 + 1)) +MINUTE(INDEX('1.Locations'!G2:G21,CJ23 + 1)))</xm:f>
            <x14:dxf>
              <fill>
                <patternFill>
                  <bgColor indexed="52"/>
                </patternFill>
              </fill>
            </x14:dxf>
          </x14:cfRule>
          <xm:sqref>CO23</xm:sqref>
        </x14:conditionalFormatting>
        <x14:conditionalFormatting xmlns:xm="http://schemas.microsoft.com/office/excel/2006/main">
          <x14:cfRule type="expression" priority="436" stopIfTrue="1" id="{36DB2C3D-1531-4FAE-8922-994072494B4B}">
            <xm:f>(60 * HOUR(CP23) + MINUTE(CP23)) &gt;(60 * HOUR(INDEX('1.Locations'!G2:G21,CJ23 + 1)) +MINUTE(INDEX('1.Locations'!G2:G21,CJ23 + 1)))</xm:f>
            <x14:dxf>
              <fill>
                <patternFill>
                  <bgColor indexed="52"/>
                </patternFill>
              </fill>
            </x14:dxf>
          </x14:cfRule>
          <xm:sqref>CP23</xm:sqref>
        </x14:conditionalFormatting>
        <x14:conditionalFormatting xmlns:xm="http://schemas.microsoft.com/office/excel/2006/main">
          <x14:cfRule type="cellIs" priority="437" stopIfTrue="1" operator="lessThan" id="{C76AF6E6-15CD-4D16-BD9D-49DD582CC93E}">
            <xm:f>INDEX('1.Locations'!F2:F21,CJ24 + 1)</xm:f>
            <x14:dxf>
              <fill>
                <patternFill>
                  <bgColor indexed="52"/>
                </patternFill>
              </fill>
            </x14:dxf>
          </x14:cfRule>
          <xm:sqref>CO24</xm:sqref>
        </x14:conditionalFormatting>
        <x14:conditionalFormatting xmlns:xm="http://schemas.microsoft.com/office/excel/2006/main">
          <x14:cfRule type="expression" priority="438" stopIfTrue="1" id="{B7BCC263-84A4-47F5-9BCE-8A60E1E0E6DE}">
            <xm:f>(60 * HOUR(CO24) + MINUTE(CO24)) &gt;(60 * HOUR(INDEX('1.Locations'!G2:G21,CJ24 + 1)) +MINUTE(INDEX('1.Locations'!G2:G21,CJ24 + 1)))</xm:f>
            <x14:dxf>
              <fill>
                <patternFill>
                  <bgColor indexed="52"/>
                </patternFill>
              </fill>
            </x14:dxf>
          </x14:cfRule>
          <xm:sqref>CO24</xm:sqref>
        </x14:conditionalFormatting>
        <x14:conditionalFormatting xmlns:xm="http://schemas.microsoft.com/office/excel/2006/main">
          <x14:cfRule type="expression" priority="439" stopIfTrue="1" id="{633E6E2F-5C0B-4DE9-B84E-7084668B4A24}">
            <xm:f>(60 * HOUR(CP24) + MINUTE(CP24)) &gt;(60 * HOUR(INDEX('1.Locations'!G2:G21,CJ24 + 1)) +MINUTE(INDEX('1.Locations'!G2:G21,CJ24 + 1)))</xm:f>
            <x14:dxf>
              <fill>
                <patternFill>
                  <bgColor indexed="52"/>
                </patternFill>
              </fill>
            </x14:dxf>
          </x14:cfRule>
          <xm:sqref>CP24</xm:sqref>
        </x14:conditionalFormatting>
        <x14:conditionalFormatting xmlns:xm="http://schemas.microsoft.com/office/excel/2006/main">
          <x14:cfRule type="cellIs" priority="440" stopIfTrue="1" operator="lessThan" id="{84D19DFE-64DC-4A8D-B845-5B3660C694D1}">
            <xm:f>INDEX('1.Locations'!F2:F21,CJ25 + 1)</xm:f>
            <x14:dxf>
              <fill>
                <patternFill>
                  <bgColor indexed="52"/>
                </patternFill>
              </fill>
            </x14:dxf>
          </x14:cfRule>
          <xm:sqref>CO25</xm:sqref>
        </x14:conditionalFormatting>
        <x14:conditionalFormatting xmlns:xm="http://schemas.microsoft.com/office/excel/2006/main">
          <x14:cfRule type="expression" priority="441" stopIfTrue="1" id="{66C7F94C-60EB-4E35-AA75-0D22812E88CF}">
            <xm:f>(60 * HOUR(CO25) + MINUTE(CO25)) &gt;(60 * HOUR(INDEX('1.Locations'!G2:G21,CJ25 + 1)) +MINUTE(INDEX('1.Locations'!G2:G21,CJ25 + 1)))</xm:f>
            <x14:dxf>
              <fill>
                <patternFill>
                  <bgColor indexed="52"/>
                </patternFill>
              </fill>
            </x14:dxf>
          </x14:cfRule>
          <xm:sqref>CO25</xm:sqref>
        </x14:conditionalFormatting>
        <x14:conditionalFormatting xmlns:xm="http://schemas.microsoft.com/office/excel/2006/main">
          <x14:cfRule type="expression" priority="442" stopIfTrue="1" id="{8B74FE32-1D3C-4391-AA70-0B40E7C408FF}">
            <xm:f>(60 * HOUR(CP25) + MINUTE(CP25)) &gt;(60 * HOUR(INDEX('1.Locations'!G2:G21,CJ25 + 1)) +MINUTE(INDEX('1.Locations'!G2:G21,CJ25 + 1)))</xm:f>
            <x14:dxf>
              <fill>
                <patternFill>
                  <bgColor indexed="52"/>
                </patternFill>
              </fill>
            </x14:dxf>
          </x14:cfRule>
          <xm:sqref>CP25</xm:sqref>
        </x14:conditionalFormatting>
        <x14:conditionalFormatting xmlns:xm="http://schemas.microsoft.com/office/excel/2006/main">
          <x14:cfRule type="cellIs" priority="443" stopIfTrue="1" operator="greaterThan" id="{7A4117CF-77E5-418B-86FA-13FF7A951F2D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CM6:CM25</xm:sqref>
        </x14:conditionalFormatting>
        <x14:conditionalFormatting xmlns:xm="http://schemas.microsoft.com/office/excel/2006/main">
          <x14:cfRule type="cellIs" priority="444" stopIfTrue="1" operator="greaterThan" id="{9F7B71C0-14E3-4143-9A12-A27BDAB9AC71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CW6:CW25</xm:sqref>
        </x14:conditionalFormatting>
        <x14:conditionalFormatting xmlns:xm="http://schemas.microsoft.com/office/excel/2006/main">
          <x14:cfRule type="cellIs" priority="446" stopIfTrue="1" operator="greaterThan" id="{1B2E37EE-AA0D-46AE-BFE6-EA03C60B3449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CN6:CN25</xm:sqref>
        </x14:conditionalFormatting>
        <x14:conditionalFormatting xmlns:xm="http://schemas.microsoft.com/office/excel/2006/main">
          <x14:cfRule type="cellIs" priority="447" stopIfTrue="1" operator="greaterThan" id="{C32A305E-9696-4AFA-9506-D37A6B41F63B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CQ6:CQ25</xm:sqref>
        </x14:conditionalFormatting>
        <x14:conditionalFormatting xmlns:xm="http://schemas.microsoft.com/office/excel/2006/main">
          <x14:cfRule type="expression" priority="449" stopIfTrue="1" id="{2E200F86-6D20-4B69-8C0C-A61B8B34C2CE}">
            <xm:f>(60 * HOUR(DF5) + MINUTE(DF5)) &gt;(60 * HOUR(INDEX('1.Locations'!G2:G21,DA5 + 1)) +MINUTE(INDEX('1.Locations'!G2:G21,DA5 + 1)))</xm:f>
            <x14:dxf>
              <fill>
                <patternFill>
                  <bgColor indexed="52"/>
                </patternFill>
              </fill>
            </x14:dxf>
          </x14:cfRule>
          <xm:sqref>DF5</xm:sqref>
        </x14:conditionalFormatting>
        <x14:conditionalFormatting xmlns:xm="http://schemas.microsoft.com/office/excel/2006/main">
          <x14:cfRule type="expression" priority="450" stopIfTrue="1" id="{CFF5CE3B-3B4E-4F78-BF2C-F5C247836AA7}">
            <xm:f>(60 * HOUR(DG5) + MINUTE(DG5)) &gt;(60 * HOUR(INDEX('1.Locations'!G2:G21,DA5 + 1)) +MINUTE(INDEX('1.Locations'!G2:G21,DA5 + 1)))</xm:f>
            <x14:dxf>
              <fill>
                <patternFill>
                  <bgColor indexed="52"/>
                </patternFill>
              </fill>
            </x14:dxf>
          </x14:cfRule>
          <xm:sqref>DG5</xm:sqref>
        </x14:conditionalFormatting>
        <x14:conditionalFormatting xmlns:xm="http://schemas.microsoft.com/office/excel/2006/main">
          <x14:cfRule type="cellIs" priority="451" stopIfTrue="1" operator="lessThan" id="{F4237CD2-59E7-4391-96CB-017F096F586F}">
            <xm:f>INDEX('1.Locations'!F2:F21,DA6 + 1)</xm:f>
            <x14:dxf>
              <fill>
                <patternFill>
                  <bgColor indexed="52"/>
                </patternFill>
              </fill>
            </x14:dxf>
          </x14:cfRule>
          <xm:sqref>DF6</xm:sqref>
        </x14:conditionalFormatting>
        <x14:conditionalFormatting xmlns:xm="http://schemas.microsoft.com/office/excel/2006/main">
          <x14:cfRule type="expression" priority="452" stopIfTrue="1" id="{A5332756-546B-4CB2-809F-7A68E3F849E7}">
            <xm:f>(60 * HOUR(DF6) + MINUTE(DF6)) &gt;(60 * HOUR(INDEX('1.Locations'!G2:G21,DA6 + 1)) +MINUTE(INDEX('1.Locations'!G2:G21,DA6 + 1)))</xm:f>
            <x14:dxf>
              <fill>
                <patternFill>
                  <bgColor indexed="52"/>
                </patternFill>
              </fill>
            </x14:dxf>
          </x14:cfRule>
          <xm:sqref>DF6</xm:sqref>
        </x14:conditionalFormatting>
        <x14:conditionalFormatting xmlns:xm="http://schemas.microsoft.com/office/excel/2006/main">
          <x14:cfRule type="expression" priority="453" stopIfTrue="1" id="{B4FFF071-83FD-4C83-B4DF-3FBE7F172657}">
            <xm:f>(60 * HOUR(DG6) + MINUTE(DG6)) &gt;(60 * HOUR(INDEX('1.Locations'!G2:G21,DA6 + 1)) +MINUTE(INDEX('1.Locations'!G2:G21,DA6 + 1)))</xm:f>
            <x14:dxf>
              <fill>
                <patternFill>
                  <bgColor indexed="52"/>
                </patternFill>
              </fill>
            </x14:dxf>
          </x14:cfRule>
          <xm:sqref>DG6</xm:sqref>
        </x14:conditionalFormatting>
        <x14:conditionalFormatting xmlns:xm="http://schemas.microsoft.com/office/excel/2006/main">
          <x14:cfRule type="cellIs" priority="454" stopIfTrue="1" operator="lessThan" id="{C7D2A4AF-A159-406C-B7BF-4C97ABAEB7E6}">
            <xm:f>INDEX('1.Locations'!F2:F21,DA7 + 1)</xm:f>
            <x14:dxf>
              <fill>
                <patternFill>
                  <bgColor indexed="52"/>
                </patternFill>
              </fill>
            </x14:dxf>
          </x14:cfRule>
          <xm:sqref>DF7</xm:sqref>
        </x14:conditionalFormatting>
        <x14:conditionalFormatting xmlns:xm="http://schemas.microsoft.com/office/excel/2006/main">
          <x14:cfRule type="expression" priority="455" stopIfTrue="1" id="{D1B4A441-D045-44DD-8029-504307C0CD1B}">
            <xm:f>(60 * HOUR(DF7) + MINUTE(DF7)) &gt;(60 * HOUR(INDEX('1.Locations'!G2:G21,DA7 + 1)) +MINUTE(INDEX('1.Locations'!G2:G21,DA7 + 1)))</xm:f>
            <x14:dxf>
              <fill>
                <patternFill>
                  <bgColor indexed="52"/>
                </patternFill>
              </fill>
            </x14:dxf>
          </x14:cfRule>
          <xm:sqref>DF7</xm:sqref>
        </x14:conditionalFormatting>
        <x14:conditionalFormatting xmlns:xm="http://schemas.microsoft.com/office/excel/2006/main">
          <x14:cfRule type="expression" priority="456" stopIfTrue="1" id="{50508745-F0EB-48E9-9DCD-37A755ADBFCC}">
            <xm:f>(60 * HOUR(DG7) + MINUTE(DG7)) &gt;(60 * HOUR(INDEX('1.Locations'!G2:G21,DA7 + 1)) +MINUTE(INDEX('1.Locations'!G2:G21,DA7 + 1)))</xm:f>
            <x14:dxf>
              <fill>
                <patternFill>
                  <bgColor indexed="52"/>
                </patternFill>
              </fill>
            </x14:dxf>
          </x14:cfRule>
          <xm:sqref>DG7</xm:sqref>
        </x14:conditionalFormatting>
        <x14:conditionalFormatting xmlns:xm="http://schemas.microsoft.com/office/excel/2006/main">
          <x14:cfRule type="cellIs" priority="457" stopIfTrue="1" operator="lessThan" id="{BE7B5500-9FFB-4F8E-BA22-5933B4AD2465}">
            <xm:f>INDEX('1.Locations'!F2:F21,DA8 + 1)</xm:f>
            <x14:dxf>
              <fill>
                <patternFill>
                  <bgColor indexed="52"/>
                </patternFill>
              </fill>
            </x14:dxf>
          </x14:cfRule>
          <xm:sqref>DF8</xm:sqref>
        </x14:conditionalFormatting>
        <x14:conditionalFormatting xmlns:xm="http://schemas.microsoft.com/office/excel/2006/main">
          <x14:cfRule type="expression" priority="458" stopIfTrue="1" id="{B7A37D30-AAC1-4AC5-B393-0B5CDB1B6FCE}">
            <xm:f>(60 * HOUR(DF8) + MINUTE(DF8)) &gt;(60 * HOUR(INDEX('1.Locations'!G2:G21,DA8 + 1)) +MINUTE(INDEX('1.Locations'!G2:G21,DA8 + 1)))</xm:f>
            <x14:dxf>
              <fill>
                <patternFill>
                  <bgColor indexed="52"/>
                </patternFill>
              </fill>
            </x14:dxf>
          </x14:cfRule>
          <xm:sqref>DF8</xm:sqref>
        </x14:conditionalFormatting>
        <x14:conditionalFormatting xmlns:xm="http://schemas.microsoft.com/office/excel/2006/main">
          <x14:cfRule type="expression" priority="459" stopIfTrue="1" id="{752C613B-2870-4396-B631-0321BD3EF9E5}">
            <xm:f>(60 * HOUR(DG8) + MINUTE(DG8)) &gt;(60 * HOUR(INDEX('1.Locations'!G2:G21,DA8 + 1)) +MINUTE(INDEX('1.Locations'!G2:G21,DA8 + 1)))</xm:f>
            <x14:dxf>
              <fill>
                <patternFill>
                  <bgColor indexed="52"/>
                </patternFill>
              </fill>
            </x14:dxf>
          </x14:cfRule>
          <xm:sqref>DG8</xm:sqref>
        </x14:conditionalFormatting>
        <x14:conditionalFormatting xmlns:xm="http://schemas.microsoft.com/office/excel/2006/main">
          <x14:cfRule type="cellIs" priority="460" stopIfTrue="1" operator="lessThan" id="{825EFB11-CD74-4990-ADB2-B6A4983A22A2}">
            <xm:f>INDEX('1.Locations'!F2:F21,DA9 + 1)</xm:f>
            <x14:dxf>
              <fill>
                <patternFill>
                  <bgColor indexed="52"/>
                </patternFill>
              </fill>
            </x14:dxf>
          </x14:cfRule>
          <xm:sqref>DF9</xm:sqref>
        </x14:conditionalFormatting>
        <x14:conditionalFormatting xmlns:xm="http://schemas.microsoft.com/office/excel/2006/main">
          <x14:cfRule type="expression" priority="461" stopIfTrue="1" id="{83A863B8-46E2-4030-949C-419E8A204207}">
            <xm:f>(60 * HOUR(DF9) + MINUTE(DF9)) &gt;(60 * HOUR(INDEX('1.Locations'!G2:G21,DA9 + 1)) +MINUTE(INDEX('1.Locations'!G2:G21,DA9 + 1)))</xm:f>
            <x14:dxf>
              <fill>
                <patternFill>
                  <bgColor indexed="52"/>
                </patternFill>
              </fill>
            </x14:dxf>
          </x14:cfRule>
          <xm:sqref>DF9</xm:sqref>
        </x14:conditionalFormatting>
        <x14:conditionalFormatting xmlns:xm="http://schemas.microsoft.com/office/excel/2006/main">
          <x14:cfRule type="expression" priority="462" stopIfTrue="1" id="{0BA9257D-6AF7-436C-A645-0972EB09DEEC}">
            <xm:f>(60 * HOUR(DG9) + MINUTE(DG9)) &gt;(60 * HOUR(INDEX('1.Locations'!G2:G21,DA9 + 1)) +MINUTE(INDEX('1.Locations'!G2:G21,DA9 + 1)))</xm:f>
            <x14:dxf>
              <fill>
                <patternFill>
                  <bgColor indexed="52"/>
                </patternFill>
              </fill>
            </x14:dxf>
          </x14:cfRule>
          <xm:sqref>DG9</xm:sqref>
        </x14:conditionalFormatting>
        <x14:conditionalFormatting xmlns:xm="http://schemas.microsoft.com/office/excel/2006/main">
          <x14:cfRule type="cellIs" priority="463" stopIfTrue="1" operator="lessThan" id="{AB2F0B4D-63BB-40B4-B1D8-A0BE0EDCE12A}">
            <xm:f>INDEX('1.Locations'!F2:F21,DA10 + 1)</xm:f>
            <x14:dxf>
              <fill>
                <patternFill>
                  <bgColor indexed="52"/>
                </patternFill>
              </fill>
            </x14:dxf>
          </x14:cfRule>
          <xm:sqref>DF10</xm:sqref>
        </x14:conditionalFormatting>
        <x14:conditionalFormatting xmlns:xm="http://schemas.microsoft.com/office/excel/2006/main">
          <x14:cfRule type="expression" priority="464" stopIfTrue="1" id="{C0B4CA5B-EE33-4C11-AFF4-A7C8F5DC619A}">
            <xm:f>(60 * HOUR(DF10) + MINUTE(DF10)) &gt;(60 * HOUR(INDEX('1.Locations'!G2:G21,DA10 + 1)) +MINUTE(INDEX('1.Locations'!G2:G21,DA10 + 1)))</xm:f>
            <x14:dxf>
              <fill>
                <patternFill>
                  <bgColor indexed="52"/>
                </patternFill>
              </fill>
            </x14:dxf>
          </x14:cfRule>
          <xm:sqref>DF10</xm:sqref>
        </x14:conditionalFormatting>
        <x14:conditionalFormatting xmlns:xm="http://schemas.microsoft.com/office/excel/2006/main">
          <x14:cfRule type="expression" priority="465" stopIfTrue="1" id="{E3313230-9E38-47AB-B614-51095693D689}">
            <xm:f>(60 * HOUR(DG10) + MINUTE(DG10)) &gt;(60 * HOUR(INDEX('1.Locations'!G2:G21,DA10 + 1)) +MINUTE(INDEX('1.Locations'!G2:G21,DA10 + 1)))</xm:f>
            <x14:dxf>
              <fill>
                <patternFill>
                  <bgColor indexed="52"/>
                </patternFill>
              </fill>
            </x14:dxf>
          </x14:cfRule>
          <xm:sqref>DG10</xm:sqref>
        </x14:conditionalFormatting>
        <x14:conditionalFormatting xmlns:xm="http://schemas.microsoft.com/office/excel/2006/main">
          <x14:cfRule type="cellIs" priority="466" stopIfTrue="1" operator="lessThan" id="{9BB1A0BE-A52E-4B60-83C3-AE73C5A007C6}">
            <xm:f>INDEX('1.Locations'!F2:F21,DA11 + 1)</xm:f>
            <x14:dxf>
              <fill>
                <patternFill>
                  <bgColor indexed="52"/>
                </patternFill>
              </fill>
            </x14:dxf>
          </x14:cfRule>
          <xm:sqref>DF11</xm:sqref>
        </x14:conditionalFormatting>
        <x14:conditionalFormatting xmlns:xm="http://schemas.microsoft.com/office/excel/2006/main">
          <x14:cfRule type="expression" priority="467" stopIfTrue="1" id="{21FE0098-4B73-407A-AA82-66BC3391688C}">
            <xm:f>(60 * HOUR(DF11) + MINUTE(DF11)) &gt;(60 * HOUR(INDEX('1.Locations'!G2:G21,DA11 + 1)) +MINUTE(INDEX('1.Locations'!G2:G21,DA11 + 1)))</xm:f>
            <x14:dxf>
              <fill>
                <patternFill>
                  <bgColor indexed="52"/>
                </patternFill>
              </fill>
            </x14:dxf>
          </x14:cfRule>
          <xm:sqref>DF11</xm:sqref>
        </x14:conditionalFormatting>
        <x14:conditionalFormatting xmlns:xm="http://schemas.microsoft.com/office/excel/2006/main">
          <x14:cfRule type="expression" priority="468" stopIfTrue="1" id="{41450090-575B-4DBF-B375-D9338AE98F38}">
            <xm:f>(60 * HOUR(DG11) + MINUTE(DG11)) &gt;(60 * HOUR(INDEX('1.Locations'!G2:G21,DA11 + 1)) +MINUTE(INDEX('1.Locations'!G2:G21,DA11 + 1)))</xm:f>
            <x14:dxf>
              <fill>
                <patternFill>
                  <bgColor indexed="52"/>
                </patternFill>
              </fill>
            </x14:dxf>
          </x14:cfRule>
          <xm:sqref>DG11</xm:sqref>
        </x14:conditionalFormatting>
        <x14:conditionalFormatting xmlns:xm="http://schemas.microsoft.com/office/excel/2006/main">
          <x14:cfRule type="cellIs" priority="469" stopIfTrue="1" operator="lessThan" id="{E43D04D9-E118-4195-9D06-F99A61A79D55}">
            <xm:f>INDEX('1.Locations'!F2:F21,DA12 + 1)</xm:f>
            <x14:dxf>
              <fill>
                <patternFill>
                  <bgColor indexed="52"/>
                </patternFill>
              </fill>
            </x14:dxf>
          </x14:cfRule>
          <xm:sqref>DF12</xm:sqref>
        </x14:conditionalFormatting>
        <x14:conditionalFormatting xmlns:xm="http://schemas.microsoft.com/office/excel/2006/main">
          <x14:cfRule type="expression" priority="470" stopIfTrue="1" id="{1970ECD6-D047-480C-880D-4D5914449B7C}">
            <xm:f>(60 * HOUR(DF12) + MINUTE(DF12)) &gt;(60 * HOUR(INDEX('1.Locations'!G2:G21,DA12 + 1)) +MINUTE(INDEX('1.Locations'!G2:G21,DA12 + 1)))</xm:f>
            <x14:dxf>
              <fill>
                <patternFill>
                  <bgColor indexed="52"/>
                </patternFill>
              </fill>
            </x14:dxf>
          </x14:cfRule>
          <xm:sqref>DF12</xm:sqref>
        </x14:conditionalFormatting>
        <x14:conditionalFormatting xmlns:xm="http://schemas.microsoft.com/office/excel/2006/main">
          <x14:cfRule type="expression" priority="471" stopIfTrue="1" id="{B1BBFC51-B16C-41E9-94A1-3C1485A614B1}">
            <xm:f>(60 * HOUR(DG12) + MINUTE(DG12)) &gt;(60 * HOUR(INDEX('1.Locations'!G2:G21,DA12 + 1)) +MINUTE(INDEX('1.Locations'!G2:G21,DA12 + 1)))</xm:f>
            <x14:dxf>
              <fill>
                <patternFill>
                  <bgColor indexed="52"/>
                </patternFill>
              </fill>
            </x14:dxf>
          </x14:cfRule>
          <xm:sqref>DG12</xm:sqref>
        </x14:conditionalFormatting>
        <x14:conditionalFormatting xmlns:xm="http://schemas.microsoft.com/office/excel/2006/main">
          <x14:cfRule type="cellIs" priority="472" stopIfTrue="1" operator="lessThan" id="{1529D143-2BF1-48D0-A0A6-01F362C7D932}">
            <xm:f>INDEX('1.Locations'!F2:F21,DA13 + 1)</xm:f>
            <x14:dxf>
              <fill>
                <patternFill>
                  <bgColor indexed="52"/>
                </patternFill>
              </fill>
            </x14:dxf>
          </x14:cfRule>
          <xm:sqref>DF13</xm:sqref>
        </x14:conditionalFormatting>
        <x14:conditionalFormatting xmlns:xm="http://schemas.microsoft.com/office/excel/2006/main">
          <x14:cfRule type="expression" priority="473" stopIfTrue="1" id="{B546DE28-16B6-49CC-8025-5666208E526C}">
            <xm:f>(60 * HOUR(DF13) + MINUTE(DF13)) &gt;(60 * HOUR(INDEX('1.Locations'!G2:G21,DA13 + 1)) +MINUTE(INDEX('1.Locations'!G2:G21,DA13 + 1)))</xm:f>
            <x14:dxf>
              <fill>
                <patternFill>
                  <bgColor indexed="52"/>
                </patternFill>
              </fill>
            </x14:dxf>
          </x14:cfRule>
          <xm:sqref>DF13</xm:sqref>
        </x14:conditionalFormatting>
        <x14:conditionalFormatting xmlns:xm="http://schemas.microsoft.com/office/excel/2006/main">
          <x14:cfRule type="expression" priority="474" stopIfTrue="1" id="{42A7276E-B1FD-42C4-A87D-E70F2F49E8EA}">
            <xm:f>(60 * HOUR(DG13) + MINUTE(DG13)) &gt;(60 * HOUR(INDEX('1.Locations'!G2:G21,DA13 + 1)) +MINUTE(INDEX('1.Locations'!G2:G21,DA13 + 1)))</xm:f>
            <x14:dxf>
              <fill>
                <patternFill>
                  <bgColor indexed="52"/>
                </patternFill>
              </fill>
            </x14:dxf>
          </x14:cfRule>
          <xm:sqref>DG13</xm:sqref>
        </x14:conditionalFormatting>
        <x14:conditionalFormatting xmlns:xm="http://schemas.microsoft.com/office/excel/2006/main">
          <x14:cfRule type="cellIs" priority="475" stopIfTrue="1" operator="lessThan" id="{63837723-22EF-4633-B608-0A7B6751495C}">
            <xm:f>INDEX('1.Locations'!F2:F21,DA14 + 1)</xm:f>
            <x14:dxf>
              <fill>
                <patternFill>
                  <bgColor indexed="52"/>
                </patternFill>
              </fill>
            </x14:dxf>
          </x14:cfRule>
          <xm:sqref>DF14</xm:sqref>
        </x14:conditionalFormatting>
        <x14:conditionalFormatting xmlns:xm="http://schemas.microsoft.com/office/excel/2006/main">
          <x14:cfRule type="expression" priority="476" stopIfTrue="1" id="{55657EB1-D689-46AD-85F7-8A0D7C9C9223}">
            <xm:f>(60 * HOUR(DF14) + MINUTE(DF14)) &gt;(60 * HOUR(INDEX('1.Locations'!G2:G21,DA14 + 1)) +MINUTE(INDEX('1.Locations'!G2:G21,DA14 + 1)))</xm:f>
            <x14:dxf>
              <fill>
                <patternFill>
                  <bgColor indexed="52"/>
                </patternFill>
              </fill>
            </x14:dxf>
          </x14:cfRule>
          <xm:sqref>DF14</xm:sqref>
        </x14:conditionalFormatting>
        <x14:conditionalFormatting xmlns:xm="http://schemas.microsoft.com/office/excel/2006/main">
          <x14:cfRule type="expression" priority="477" stopIfTrue="1" id="{5655D54C-990B-4808-8D5B-501BE956512A}">
            <xm:f>(60 * HOUR(DG14) + MINUTE(DG14)) &gt;(60 * HOUR(INDEX('1.Locations'!G2:G21,DA14 + 1)) +MINUTE(INDEX('1.Locations'!G2:G21,DA14 + 1)))</xm:f>
            <x14:dxf>
              <fill>
                <patternFill>
                  <bgColor indexed="52"/>
                </patternFill>
              </fill>
            </x14:dxf>
          </x14:cfRule>
          <xm:sqref>DG14</xm:sqref>
        </x14:conditionalFormatting>
        <x14:conditionalFormatting xmlns:xm="http://schemas.microsoft.com/office/excel/2006/main">
          <x14:cfRule type="cellIs" priority="478" stopIfTrue="1" operator="lessThan" id="{F95BAE64-337E-4E47-A5A7-920E38A16498}">
            <xm:f>INDEX('1.Locations'!F2:F21,DA15 + 1)</xm:f>
            <x14:dxf>
              <fill>
                <patternFill>
                  <bgColor indexed="52"/>
                </patternFill>
              </fill>
            </x14:dxf>
          </x14:cfRule>
          <xm:sqref>DF15</xm:sqref>
        </x14:conditionalFormatting>
        <x14:conditionalFormatting xmlns:xm="http://schemas.microsoft.com/office/excel/2006/main">
          <x14:cfRule type="expression" priority="479" stopIfTrue="1" id="{00BBB595-E183-49EE-8EED-0BC44736B8CF}">
            <xm:f>(60 * HOUR(DF15) + MINUTE(DF15)) &gt;(60 * HOUR(INDEX('1.Locations'!G2:G21,DA15 + 1)) +MINUTE(INDEX('1.Locations'!G2:G21,DA15 + 1)))</xm:f>
            <x14:dxf>
              <fill>
                <patternFill>
                  <bgColor indexed="52"/>
                </patternFill>
              </fill>
            </x14:dxf>
          </x14:cfRule>
          <xm:sqref>DF15</xm:sqref>
        </x14:conditionalFormatting>
        <x14:conditionalFormatting xmlns:xm="http://schemas.microsoft.com/office/excel/2006/main">
          <x14:cfRule type="expression" priority="480" stopIfTrue="1" id="{C0FAFC83-2EAA-448F-9443-5BE7D3B3B96E}">
            <xm:f>(60 * HOUR(DG15) + MINUTE(DG15)) &gt;(60 * HOUR(INDEX('1.Locations'!G2:G21,DA15 + 1)) +MINUTE(INDEX('1.Locations'!G2:G21,DA15 + 1)))</xm:f>
            <x14:dxf>
              <fill>
                <patternFill>
                  <bgColor indexed="52"/>
                </patternFill>
              </fill>
            </x14:dxf>
          </x14:cfRule>
          <xm:sqref>DG15</xm:sqref>
        </x14:conditionalFormatting>
        <x14:conditionalFormatting xmlns:xm="http://schemas.microsoft.com/office/excel/2006/main">
          <x14:cfRule type="cellIs" priority="481" stopIfTrue="1" operator="lessThan" id="{F452BE68-DFCD-455D-8C6E-84209CDCE86F}">
            <xm:f>INDEX('1.Locations'!F2:F21,DA16 + 1)</xm:f>
            <x14:dxf>
              <fill>
                <patternFill>
                  <bgColor indexed="52"/>
                </patternFill>
              </fill>
            </x14:dxf>
          </x14:cfRule>
          <xm:sqref>DF16</xm:sqref>
        </x14:conditionalFormatting>
        <x14:conditionalFormatting xmlns:xm="http://schemas.microsoft.com/office/excel/2006/main">
          <x14:cfRule type="expression" priority="482" stopIfTrue="1" id="{70A098FF-D6E9-485B-B503-590BA3616B5A}">
            <xm:f>(60 * HOUR(DF16) + MINUTE(DF16)) &gt;(60 * HOUR(INDEX('1.Locations'!G2:G21,DA16 + 1)) +MINUTE(INDEX('1.Locations'!G2:G21,DA16 + 1)))</xm:f>
            <x14:dxf>
              <fill>
                <patternFill>
                  <bgColor indexed="52"/>
                </patternFill>
              </fill>
            </x14:dxf>
          </x14:cfRule>
          <xm:sqref>DF16</xm:sqref>
        </x14:conditionalFormatting>
        <x14:conditionalFormatting xmlns:xm="http://schemas.microsoft.com/office/excel/2006/main">
          <x14:cfRule type="expression" priority="483" stopIfTrue="1" id="{9C4CF243-EF52-4B81-B416-E98D35F4FF02}">
            <xm:f>(60 * HOUR(DG16) + MINUTE(DG16)) &gt;(60 * HOUR(INDEX('1.Locations'!G2:G21,DA16 + 1)) +MINUTE(INDEX('1.Locations'!G2:G21,DA16 + 1)))</xm:f>
            <x14:dxf>
              <fill>
                <patternFill>
                  <bgColor indexed="52"/>
                </patternFill>
              </fill>
            </x14:dxf>
          </x14:cfRule>
          <xm:sqref>DG16</xm:sqref>
        </x14:conditionalFormatting>
        <x14:conditionalFormatting xmlns:xm="http://schemas.microsoft.com/office/excel/2006/main">
          <x14:cfRule type="cellIs" priority="484" stopIfTrue="1" operator="lessThan" id="{498A0EDB-89A6-41C0-869E-D44C16A048CE}">
            <xm:f>INDEX('1.Locations'!F2:F21,DA17 + 1)</xm:f>
            <x14:dxf>
              <fill>
                <patternFill>
                  <bgColor indexed="52"/>
                </patternFill>
              </fill>
            </x14:dxf>
          </x14:cfRule>
          <xm:sqref>DF17</xm:sqref>
        </x14:conditionalFormatting>
        <x14:conditionalFormatting xmlns:xm="http://schemas.microsoft.com/office/excel/2006/main">
          <x14:cfRule type="expression" priority="485" stopIfTrue="1" id="{F181ACC0-89D4-42A1-B3CE-1EDCEB89F490}">
            <xm:f>(60 * HOUR(DF17) + MINUTE(DF17)) &gt;(60 * HOUR(INDEX('1.Locations'!G2:G21,DA17 + 1)) +MINUTE(INDEX('1.Locations'!G2:G21,DA17 + 1)))</xm:f>
            <x14:dxf>
              <fill>
                <patternFill>
                  <bgColor indexed="52"/>
                </patternFill>
              </fill>
            </x14:dxf>
          </x14:cfRule>
          <xm:sqref>DF17</xm:sqref>
        </x14:conditionalFormatting>
        <x14:conditionalFormatting xmlns:xm="http://schemas.microsoft.com/office/excel/2006/main">
          <x14:cfRule type="expression" priority="486" stopIfTrue="1" id="{1B56366A-425B-4398-B426-237985F6F71B}">
            <xm:f>(60 * HOUR(DG17) + MINUTE(DG17)) &gt;(60 * HOUR(INDEX('1.Locations'!G2:G21,DA17 + 1)) +MINUTE(INDEX('1.Locations'!G2:G21,DA17 + 1)))</xm:f>
            <x14:dxf>
              <fill>
                <patternFill>
                  <bgColor indexed="52"/>
                </patternFill>
              </fill>
            </x14:dxf>
          </x14:cfRule>
          <xm:sqref>DG17</xm:sqref>
        </x14:conditionalFormatting>
        <x14:conditionalFormatting xmlns:xm="http://schemas.microsoft.com/office/excel/2006/main">
          <x14:cfRule type="cellIs" priority="487" stopIfTrue="1" operator="lessThan" id="{C34614F0-731F-40EC-BFFF-3C12D202EE51}">
            <xm:f>INDEX('1.Locations'!F2:F21,DA18 + 1)</xm:f>
            <x14:dxf>
              <fill>
                <patternFill>
                  <bgColor indexed="52"/>
                </patternFill>
              </fill>
            </x14:dxf>
          </x14:cfRule>
          <xm:sqref>DF18</xm:sqref>
        </x14:conditionalFormatting>
        <x14:conditionalFormatting xmlns:xm="http://schemas.microsoft.com/office/excel/2006/main">
          <x14:cfRule type="expression" priority="488" stopIfTrue="1" id="{4316AD2C-281A-40F7-BA01-01A2932DC379}">
            <xm:f>(60 * HOUR(DF18) + MINUTE(DF18)) &gt;(60 * HOUR(INDEX('1.Locations'!G2:G21,DA18 + 1)) +MINUTE(INDEX('1.Locations'!G2:G21,DA18 + 1)))</xm:f>
            <x14:dxf>
              <fill>
                <patternFill>
                  <bgColor indexed="52"/>
                </patternFill>
              </fill>
            </x14:dxf>
          </x14:cfRule>
          <xm:sqref>DF18</xm:sqref>
        </x14:conditionalFormatting>
        <x14:conditionalFormatting xmlns:xm="http://schemas.microsoft.com/office/excel/2006/main">
          <x14:cfRule type="expression" priority="489" stopIfTrue="1" id="{C2A6A4AB-191A-48FE-B89F-4545DFC2B550}">
            <xm:f>(60 * HOUR(DG18) + MINUTE(DG18)) &gt;(60 * HOUR(INDEX('1.Locations'!G2:G21,DA18 + 1)) +MINUTE(INDEX('1.Locations'!G2:G21,DA18 + 1)))</xm:f>
            <x14:dxf>
              <fill>
                <patternFill>
                  <bgColor indexed="52"/>
                </patternFill>
              </fill>
            </x14:dxf>
          </x14:cfRule>
          <xm:sqref>DG18</xm:sqref>
        </x14:conditionalFormatting>
        <x14:conditionalFormatting xmlns:xm="http://schemas.microsoft.com/office/excel/2006/main">
          <x14:cfRule type="cellIs" priority="490" stopIfTrue="1" operator="lessThan" id="{4BFA075A-A6D1-47F1-8B2C-2ADDB4AEEFA2}">
            <xm:f>INDEX('1.Locations'!F2:F21,DA19 + 1)</xm:f>
            <x14:dxf>
              <fill>
                <patternFill>
                  <bgColor indexed="52"/>
                </patternFill>
              </fill>
            </x14:dxf>
          </x14:cfRule>
          <xm:sqref>DF19</xm:sqref>
        </x14:conditionalFormatting>
        <x14:conditionalFormatting xmlns:xm="http://schemas.microsoft.com/office/excel/2006/main">
          <x14:cfRule type="expression" priority="491" stopIfTrue="1" id="{105B479C-81F9-473C-8D47-69691DB4D71D}">
            <xm:f>(60 * HOUR(DF19) + MINUTE(DF19)) &gt;(60 * HOUR(INDEX('1.Locations'!G2:G21,DA19 + 1)) +MINUTE(INDEX('1.Locations'!G2:G21,DA19 + 1)))</xm:f>
            <x14:dxf>
              <fill>
                <patternFill>
                  <bgColor indexed="52"/>
                </patternFill>
              </fill>
            </x14:dxf>
          </x14:cfRule>
          <xm:sqref>DF19</xm:sqref>
        </x14:conditionalFormatting>
        <x14:conditionalFormatting xmlns:xm="http://schemas.microsoft.com/office/excel/2006/main">
          <x14:cfRule type="expression" priority="492" stopIfTrue="1" id="{9F1D482C-CE90-4E28-A02D-B820F6982838}">
            <xm:f>(60 * HOUR(DG19) + MINUTE(DG19)) &gt;(60 * HOUR(INDEX('1.Locations'!G2:G21,DA19 + 1)) +MINUTE(INDEX('1.Locations'!G2:G21,DA19 + 1)))</xm:f>
            <x14:dxf>
              <fill>
                <patternFill>
                  <bgColor indexed="52"/>
                </patternFill>
              </fill>
            </x14:dxf>
          </x14:cfRule>
          <xm:sqref>DG19</xm:sqref>
        </x14:conditionalFormatting>
        <x14:conditionalFormatting xmlns:xm="http://schemas.microsoft.com/office/excel/2006/main">
          <x14:cfRule type="cellIs" priority="493" stopIfTrue="1" operator="lessThan" id="{2959851F-013D-45F1-A3D5-8188D7BAA61F}">
            <xm:f>INDEX('1.Locations'!F2:F21,DA20 + 1)</xm:f>
            <x14:dxf>
              <fill>
                <patternFill>
                  <bgColor indexed="52"/>
                </patternFill>
              </fill>
            </x14:dxf>
          </x14:cfRule>
          <xm:sqref>DF20</xm:sqref>
        </x14:conditionalFormatting>
        <x14:conditionalFormatting xmlns:xm="http://schemas.microsoft.com/office/excel/2006/main">
          <x14:cfRule type="expression" priority="494" stopIfTrue="1" id="{E7902CD1-43AB-4C87-8D04-4B4BAD827BE2}">
            <xm:f>(60 * HOUR(DF20) + MINUTE(DF20)) &gt;(60 * HOUR(INDEX('1.Locations'!G2:G21,DA20 + 1)) +MINUTE(INDEX('1.Locations'!G2:G21,DA20 + 1)))</xm:f>
            <x14:dxf>
              <fill>
                <patternFill>
                  <bgColor indexed="52"/>
                </patternFill>
              </fill>
            </x14:dxf>
          </x14:cfRule>
          <xm:sqref>DF20</xm:sqref>
        </x14:conditionalFormatting>
        <x14:conditionalFormatting xmlns:xm="http://schemas.microsoft.com/office/excel/2006/main">
          <x14:cfRule type="expression" priority="495" stopIfTrue="1" id="{34EA7B99-E9DD-4746-AD14-624437A48EC1}">
            <xm:f>(60 * HOUR(DG20) + MINUTE(DG20)) &gt;(60 * HOUR(INDEX('1.Locations'!G2:G21,DA20 + 1)) +MINUTE(INDEX('1.Locations'!G2:G21,DA20 + 1)))</xm:f>
            <x14:dxf>
              <fill>
                <patternFill>
                  <bgColor indexed="52"/>
                </patternFill>
              </fill>
            </x14:dxf>
          </x14:cfRule>
          <xm:sqref>DG20</xm:sqref>
        </x14:conditionalFormatting>
        <x14:conditionalFormatting xmlns:xm="http://schemas.microsoft.com/office/excel/2006/main">
          <x14:cfRule type="cellIs" priority="496" stopIfTrue="1" operator="lessThan" id="{381AB646-9128-411B-A256-EF204B80A959}">
            <xm:f>INDEX('1.Locations'!F2:F21,DA21 + 1)</xm:f>
            <x14:dxf>
              <fill>
                <patternFill>
                  <bgColor indexed="52"/>
                </patternFill>
              </fill>
            </x14:dxf>
          </x14:cfRule>
          <xm:sqref>DF21</xm:sqref>
        </x14:conditionalFormatting>
        <x14:conditionalFormatting xmlns:xm="http://schemas.microsoft.com/office/excel/2006/main">
          <x14:cfRule type="expression" priority="497" stopIfTrue="1" id="{2F7DA3B1-1BAD-4BAC-A5BD-C7710C02DFF6}">
            <xm:f>(60 * HOUR(DF21) + MINUTE(DF21)) &gt;(60 * HOUR(INDEX('1.Locations'!G2:G21,DA21 + 1)) +MINUTE(INDEX('1.Locations'!G2:G21,DA21 + 1)))</xm:f>
            <x14:dxf>
              <fill>
                <patternFill>
                  <bgColor indexed="52"/>
                </patternFill>
              </fill>
            </x14:dxf>
          </x14:cfRule>
          <xm:sqref>DF21</xm:sqref>
        </x14:conditionalFormatting>
        <x14:conditionalFormatting xmlns:xm="http://schemas.microsoft.com/office/excel/2006/main">
          <x14:cfRule type="expression" priority="498" stopIfTrue="1" id="{3AEFD679-C21F-4739-9958-2CCCF132B6B8}">
            <xm:f>(60 * HOUR(DG21) + MINUTE(DG21)) &gt;(60 * HOUR(INDEX('1.Locations'!G2:G21,DA21 + 1)) +MINUTE(INDEX('1.Locations'!G2:G21,DA21 + 1)))</xm:f>
            <x14:dxf>
              <fill>
                <patternFill>
                  <bgColor indexed="52"/>
                </patternFill>
              </fill>
            </x14:dxf>
          </x14:cfRule>
          <xm:sqref>DG21</xm:sqref>
        </x14:conditionalFormatting>
        <x14:conditionalFormatting xmlns:xm="http://schemas.microsoft.com/office/excel/2006/main">
          <x14:cfRule type="cellIs" priority="499" stopIfTrue="1" operator="lessThan" id="{97388A7D-47CC-47AF-ADDE-E602B228B24E}">
            <xm:f>INDEX('1.Locations'!F2:F21,DA22 + 1)</xm:f>
            <x14:dxf>
              <fill>
                <patternFill>
                  <bgColor indexed="52"/>
                </patternFill>
              </fill>
            </x14:dxf>
          </x14:cfRule>
          <xm:sqref>DF22</xm:sqref>
        </x14:conditionalFormatting>
        <x14:conditionalFormatting xmlns:xm="http://schemas.microsoft.com/office/excel/2006/main">
          <x14:cfRule type="expression" priority="500" stopIfTrue="1" id="{377D76BF-0B76-47B8-9487-18CBD6A73846}">
            <xm:f>(60 * HOUR(DF22) + MINUTE(DF22)) &gt;(60 * HOUR(INDEX('1.Locations'!G2:G21,DA22 + 1)) +MINUTE(INDEX('1.Locations'!G2:G21,DA22 + 1)))</xm:f>
            <x14:dxf>
              <fill>
                <patternFill>
                  <bgColor indexed="52"/>
                </patternFill>
              </fill>
            </x14:dxf>
          </x14:cfRule>
          <xm:sqref>DF22</xm:sqref>
        </x14:conditionalFormatting>
        <x14:conditionalFormatting xmlns:xm="http://schemas.microsoft.com/office/excel/2006/main">
          <x14:cfRule type="expression" priority="501" stopIfTrue="1" id="{DE9CACD8-7D3D-4998-95CD-82368A1FB1B8}">
            <xm:f>(60 * HOUR(DG22) + MINUTE(DG22)) &gt;(60 * HOUR(INDEX('1.Locations'!G2:G21,DA22 + 1)) +MINUTE(INDEX('1.Locations'!G2:G21,DA22 + 1)))</xm:f>
            <x14:dxf>
              <fill>
                <patternFill>
                  <bgColor indexed="52"/>
                </patternFill>
              </fill>
            </x14:dxf>
          </x14:cfRule>
          <xm:sqref>DG22</xm:sqref>
        </x14:conditionalFormatting>
        <x14:conditionalFormatting xmlns:xm="http://schemas.microsoft.com/office/excel/2006/main">
          <x14:cfRule type="cellIs" priority="502" stopIfTrue="1" operator="lessThan" id="{192D0B05-C6FD-4D83-8F50-E53438A9A8A5}">
            <xm:f>INDEX('1.Locations'!F2:F21,DA23 + 1)</xm:f>
            <x14:dxf>
              <fill>
                <patternFill>
                  <bgColor indexed="52"/>
                </patternFill>
              </fill>
            </x14:dxf>
          </x14:cfRule>
          <xm:sqref>DF23</xm:sqref>
        </x14:conditionalFormatting>
        <x14:conditionalFormatting xmlns:xm="http://schemas.microsoft.com/office/excel/2006/main">
          <x14:cfRule type="expression" priority="503" stopIfTrue="1" id="{3EEE89C8-A855-4A96-A71E-E16C1787E200}">
            <xm:f>(60 * HOUR(DF23) + MINUTE(DF23)) &gt;(60 * HOUR(INDEX('1.Locations'!G2:G21,DA23 + 1)) +MINUTE(INDEX('1.Locations'!G2:G21,DA23 + 1)))</xm:f>
            <x14:dxf>
              <fill>
                <patternFill>
                  <bgColor indexed="52"/>
                </patternFill>
              </fill>
            </x14:dxf>
          </x14:cfRule>
          <xm:sqref>DF23</xm:sqref>
        </x14:conditionalFormatting>
        <x14:conditionalFormatting xmlns:xm="http://schemas.microsoft.com/office/excel/2006/main">
          <x14:cfRule type="expression" priority="504" stopIfTrue="1" id="{42918BBB-0BC0-4F6F-900E-E52E6F4E2CB2}">
            <xm:f>(60 * HOUR(DG23) + MINUTE(DG23)) &gt;(60 * HOUR(INDEX('1.Locations'!G2:G21,DA23 + 1)) +MINUTE(INDEX('1.Locations'!G2:G21,DA23 + 1)))</xm:f>
            <x14:dxf>
              <fill>
                <patternFill>
                  <bgColor indexed="52"/>
                </patternFill>
              </fill>
            </x14:dxf>
          </x14:cfRule>
          <xm:sqref>DG23</xm:sqref>
        </x14:conditionalFormatting>
        <x14:conditionalFormatting xmlns:xm="http://schemas.microsoft.com/office/excel/2006/main">
          <x14:cfRule type="cellIs" priority="505" stopIfTrue="1" operator="lessThan" id="{2139E27B-428E-4C62-B824-723956B1FFFC}">
            <xm:f>INDEX('1.Locations'!F2:F21,DA24 + 1)</xm:f>
            <x14:dxf>
              <fill>
                <patternFill>
                  <bgColor indexed="52"/>
                </patternFill>
              </fill>
            </x14:dxf>
          </x14:cfRule>
          <xm:sqref>DF24</xm:sqref>
        </x14:conditionalFormatting>
        <x14:conditionalFormatting xmlns:xm="http://schemas.microsoft.com/office/excel/2006/main">
          <x14:cfRule type="expression" priority="506" stopIfTrue="1" id="{2C5FFB10-FC48-435C-B593-9F6BAE5E16AB}">
            <xm:f>(60 * HOUR(DF24) + MINUTE(DF24)) &gt;(60 * HOUR(INDEX('1.Locations'!G2:G21,DA24 + 1)) +MINUTE(INDEX('1.Locations'!G2:G21,DA24 + 1)))</xm:f>
            <x14:dxf>
              <fill>
                <patternFill>
                  <bgColor indexed="52"/>
                </patternFill>
              </fill>
            </x14:dxf>
          </x14:cfRule>
          <xm:sqref>DF24</xm:sqref>
        </x14:conditionalFormatting>
        <x14:conditionalFormatting xmlns:xm="http://schemas.microsoft.com/office/excel/2006/main">
          <x14:cfRule type="expression" priority="507" stopIfTrue="1" id="{89DDD038-307E-4489-B517-C8D8EAC00F3D}">
            <xm:f>(60 * HOUR(DG24) + MINUTE(DG24)) &gt;(60 * HOUR(INDEX('1.Locations'!G2:G21,DA24 + 1)) +MINUTE(INDEX('1.Locations'!G2:G21,DA24 + 1)))</xm:f>
            <x14:dxf>
              <fill>
                <patternFill>
                  <bgColor indexed="52"/>
                </patternFill>
              </fill>
            </x14:dxf>
          </x14:cfRule>
          <xm:sqref>DG24</xm:sqref>
        </x14:conditionalFormatting>
        <x14:conditionalFormatting xmlns:xm="http://schemas.microsoft.com/office/excel/2006/main">
          <x14:cfRule type="cellIs" priority="508" stopIfTrue="1" operator="lessThan" id="{D32BA3BB-641F-4F1B-8712-70384268B25F}">
            <xm:f>INDEX('1.Locations'!F2:F21,DA25 + 1)</xm:f>
            <x14:dxf>
              <fill>
                <patternFill>
                  <bgColor indexed="52"/>
                </patternFill>
              </fill>
            </x14:dxf>
          </x14:cfRule>
          <xm:sqref>DF25</xm:sqref>
        </x14:conditionalFormatting>
        <x14:conditionalFormatting xmlns:xm="http://schemas.microsoft.com/office/excel/2006/main">
          <x14:cfRule type="expression" priority="509" stopIfTrue="1" id="{85DCBFE5-12E6-47EB-84A6-7ECA63017F2E}">
            <xm:f>(60 * HOUR(DF25) + MINUTE(DF25)) &gt;(60 * HOUR(INDEX('1.Locations'!G2:G21,DA25 + 1)) +MINUTE(INDEX('1.Locations'!G2:G21,DA25 + 1)))</xm:f>
            <x14:dxf>
              <fill>
                <patternFill>
                  <bgColor indexed="52"/>
                </patternFill>
              </fill>
            </x14:dxf>
          </x14:cfRule>
          <xm:sqref>DF25</xm:sqref>
        </x14:conditionalFormatting>
        <x14:conditionalFormatting xmlns:xm="http://schemas.microsoft.com/office/excel/2006/main">
          <x14:cfRule type="expression" priority="510" stopIfTrue="1" id="{409191C8-0754-4091-8998-254C86EF2198}">
            <xm:f>(60 * HOUR(DG25) + MINUTE(DG25)) &gt;(60 * HOUR(INDEX('1.Locations'!G2:G21,DA25 + 1)) +MINUTE(INDEX('1.Locations'!G2:G21,DA25 + 1)))</xm:f>
            <x14:dxf>
              <fill>
                <patternFill>
                  <bgColor indexed="5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ellIs" priority="511" stopIfTrue="1" operator="greaterThan" id="{14319504-F5B2-4F95-9E4B-BD1F11A5ADE6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DD6:DD25</xm:sqref>
        </x14:conditionalFormatting>
        <x14:conditionalFormatting xmlns:xm="http://schemas.microsoft.com/office/excel/2006/main">
          <x14:cfRule type="cellIs" priority="512" stopIfTrue="1" operator="greaterThan" id="{DAC7A33D-643D-4C21-865F-2DF301E5424F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DN6:DN25</xm:sqref>
        </x14:conditionalFormatting>
        <x14:conditionalFormatting xmlns:xm="http://schemas.microsoft.com/office/excel/2006/main">
          <x14:cfRule type="cellIs" priority="514" stopIfTrue="1" operator="greaterThan" id="{0E56217A-94F6-4BC4-B33A-2128FE3F9750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DE6:DE25</xm:sqref>
        </x14:conditionalFormatting>
        <x14:conditionalFormatting xmlns:xm="http://schemas.microsoft.com/office/excel/2006/main">
          <x14:cfRule type="cellIs" priority="515" stopIfTrue="1" operator="greaterThan" id="{83BE2208-33D4-4617-8C5E-326A6CE8F955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DH6:DH25</xm:sqref>
        </x14:conditionalFormatting>
        <x14:conditionalFormatting xmlns:xm="http://schemas.microsoft.com/office/excel/2006/main">
          <x14:cfRule type="expression" priority="517" stopIfTrue="1" id="{0D4ED9D0-A83F-4C5A-8978-DED51F8956D7}">
            <xm:f>(60 * HOUR(DW5) + MINUTE(DW5)) &gt;(60 * HOUR(INDEX('1.Locations'!G2:G21,DR5 + 1)) +MINUTE(INDEX('1.Locations'!G2:G21,DR5 + 1)))</xm:f>
            <x14:dxf>
              <fill>
                <patternFill>
                  <bgColor indexed="52"/>
                </patternFill>
              </fill>
            </x14:dxf>
          </x14:cfRule>
          <xm:sqref>DW5</xm:sqref>
        </x14:conditionalFormatting>
        <x14:conditionalFormatting xmlns:xm="http://schemas.microsoft.com/office/excel/2006/main">
          <x14:cfRule type="expression" priority="518" stopIfTrue="1" id="{782CB8AE-9D24-4D29-99B1-B1259653FBBA}">
            <xm:f>(60 * HOUR(DX5) + MINUTE(DX5)) &gt;(60 * HOUR(INDEX('1.Locations'!G2:G21,DR5 + 1)) +MINUTE(INDEX('1.Locations'!G2:G21,DR5 + 1)))</xm:f>
            <x14:dxf>
              <fill>
                <patternFill>
                  <bgColor indexed="52"/>
                </patternFill>
              </fill>
            </x14:dxf>
          </x14:cfRule>
          <xm:sqref>DX5</xm:sqref>
        </x14:conditionalFormatting>
        <x14:conditionalFormatting xmlns:xm="http://schemas.microsoft.com/office/excel/2006/main">
          <x14:cfRule type="cellIs" priority="519" stopIfTrue="1" operator="lessThan" id="{B9F55D91-5E57-4018-98C6-BE73BA46EB59}">
            <xm:f>INDEX('1.Locations'!F2:F21,DR6 + 1)</xm:f>
            <x14:dxf>
              <fill>
                <patternFill>
                  <bgColor indexed="52"/>
                </patternFill>
              </fill>
            </x14:dxf>
          </x14:cfRule>
          <xm:sqref>DW6</xm:sqref>
        </x14:conditionalFormatting>
        <x14:conditionalFormatting xmlns:xm="http://schemas.microsoft.com/office/excel/2006/main">
          <x14:cfRule type="expression" priority="520" stopIfTrue="1" id="{014B98D1-FFCA-49DC-B634-DF78D568A78B}">
            <xm:f>(60 * HOUR(DW6) + MINUTE(DW6)) &gt;(60 * HOUR(INDEX('1.Locations'!G2:G21,DR6 + 1)) +MINUTE(INDEX('1.Locations'!G2:G21,DR6 + 1)))</xm:f>
            <x14:dxf>
              <fill>
                <patternFill>
                  <bgColor indexed="52"/>
                </patternFill>
              </fill>
            </x14:dxf>
          </x14:cfRule>
          <xm:sqref>DW6</xm:sqref>
        </x14:conditionalFormatting>
        <x14:conditionalFormatting xmlns:xm="http://schemas.microsoft.com/office/excel/2006/main">
          <x14:cfRule type="expression" priority="521" stopIfTrue="1" id="{BCE48500-71CA-459A-B6F7-80C044CF15F3}">
            <xm:f>(60 * HOUR(DX6) + MINUTE(DX6)) &gt;(60 * HOUR(INDEX('1.Locations'!G2:G21,DR6 + 1)) +MINUTE(INDEX('1.Locations'!G2:G21,DR6 + 1)))</xm:f>
            <x14:dxf>
              <fill>
                <patternFill>
                  <bgColor indexed="52"/>
                </patternFill>
              </fill>
            </x14:dxf>
          </x14:cfRule>
          <xm:sqref>DX6</xm:sqref>
        </x14:conditionalFormatting>
        <x14:conditionalFormatting xmlns:xm="http://schemas.microsoft.com/office/excel/2006/main">
          <x14:cfRule type="cellIs" priority="522" stopIfTrue="1" operator="lessThan" id="{8F0BD201-385F-422E-AB9E-B57C4E78AB9B}">
            <xm:f>INDEX('1.Locations'!F2:F21,DR7 + 1)</xm:f>
            <x14:dxf>
              <fill>
                <patternFill>
                  <bgColor indexed="52"/>
                </patternFill>
              </fill>
            </x14:dxf>
          </x14:cfRule>
          <xm:sqref>DW7</xm:sqref>
        </x14:conditionalFormatting>
        <x14:conditionalFormatting xmlns:xm="http://schemas.microsoft.com/office/excel/2006/main">
          <x14:cfRule type="expression" priority="523" stopIfTrue="1" id="{441389E0-A4DA-42D9-B71F-A1D5C70E4352}">
            <xm:f>(60 * HOUR(DW7) + MINUTE(DW7)) &gt;(60 * HOUR(INDEX('1.Locations'!G2:G21,DR7 + 1)) +MINUTE(INDEX('1.Locations'!G2:G21,DR7 + 1)))</xm:f>
            <x14:dxf>
              <fill>
                <patternFill>
                  <bgColor indexed="52"/>
                </patternFill>
              </fill>
            </x14:dxf>
          </x14:cfRule>
          <xm:sqref>DW7</xm:sqref>
        </x14:conditionalFormatting>
        <x14:conditionalFormatting xmlns:xm="http://schemas.microsoft.com/office/excel/2006/main">
          <x14:cfRule type="expression" priority="524" stopIfTrue="1" id="{3F9DBF82-67EA-49CD-A7AC-03C338F51BE5}">
            <xm:f>(60 * HOUR(DX7) + MINUTE(DX7)) &gt;(60 * HOUR(INDEX('1.Locations'!G2:G21,DR7 + 1)) +MINUTE(INDEX('1.Locations'!G2:G21,DR7 + 1)))</xm:f>
            <x14:dxf>
              <fill>
                <patternFill>
                  <bgColor indexed="52"/>
                </patternFill>
              </fill>
            </x14:dxf>
          </x14:cfRule>
          <xm:sqref>DX7</xm:sqref>
        </x14:conditionalFormatting>
        <x14:conditionalFormatting xmlns:xm="http://schemas.microsoft.com/office/excel/2006/main">
          <x14:cfRule type="cellIs" priority="525" stopIfTrue="1" operator="lessThan" id="{E7FA4A93-AEF4-4B44-BB70-6B554B96F8CD}">
            <xm:f>INDEX('1.Locations'!F2:F21,DR8 + 1)</xm:f>
            <x14:dxf>
              <fill>
                <patternFill>
                  <bgColor indexed="52"/>
                </patternFill>
              </fill>
            </x14:dxf>
          </x14:cfRule>
          <xm:sqref>DW8</xm:sqref>
        </x14:conditionalFormatting>
        <x14:conditionalFormatting xmlns:xm="http://schemas.microsoft.com/office/excel/2006/main">
          <x14:cfRule type="expression" priority="526" stopIfTrue="1" id="{6C96FB20-88FD-4EC9-955D-022D45A9D5E2}">
            <xm:f>(60 * HOUR(DW8) + MINUTE(DW8)) &gt;(60 * HOUR(INDEX('1.Locations'!G2:G21,DR8 + 1)) +MINUTE(INDEX('1.Locations'!G2:G21,DR8 + 1)))</xm:f>
            <x14:dxf>
              <fill>
                <patternFill>
                  <bgColor indexed="52"/>
                </patternFill>
              </fill>
            </x14:dxf>
          </x14:cfRule>
          <xm:sqref>DW8</xm:sqref>
        </x14:conditionalFormatting>
        <x14:conditionalFormatting xmlns:xm="http://schemas.microsoft.com/office/excel/2006/main">
          <x14:cfRule type="expression" priority="527" stopIfTrue="1" id="{70A936B8-20BB-4DB2-B777-C017A83E7113}">
            <xm:f>(60 * HOUR(DX8) + MINUTE(DX8)) &gt;(60 * HOUR(INDEX('1.Locations'!G2:G21,DR8 + 1)) +MINUTE(INDEX('1.Locations'!G2:G21,DR8 + 1)))</xm:f>
            <x14:dxf>
              <fill>
                <patternFill>
                  <bgColor indexed="52"/>
                </patternFill>
              </fill>
            </x14:dxf>
          </x14:cfRule>
          <xm:sqref>DX8</xm:sqref>
        </x14:conditionalFormatting>
        <x14:conditionalFormatting xmlns:xm="http://schemas.microsoft.com/office/excel/2006/main">
          <x14:cfRule type="cellIs" priority="528" stopIfTrue="1" operator="lessThan" id="{1C1ABD4D-289D-410D-A7A1-9EDA5542416E}">
            <xm:f>INDEX('1.Locations'!F2:F21,DR9 + 1)</xm:f>
            <x14:dxf>
              <fill>
                <patternFill>
                  <bgColor indexed="52"/>
                </patternFill>
              </fill>
            </x14:dxf>
          </x14:cfRule>
          <xm:sqref>DW9</xm:sqref>
        </x14:conditionalFormatting>
        <x14:conditionalFormatting xmlns:xm="http://schemas.microsoft.com/office/excel/2006/main">
          <x14:cfRule type="expression" priority="529" stopIfTrue="1" id="{0EA7CBC0-E672-4740-B488-2FD4EBA62BF0}">
            <xm:f>(60 * HOUR(DW9) + MINUTE(DW9)) &gt;(60 * HOUR(INDEX('1.Locations'!G2:G21,DR9 + 1)) +MINUTE(INDEX('1.Locations'!G2:G21,DR9 + 1)))</xm:f>
            <x14:dxf>
              <fill>
                <patternFill>
                  <bgColor indexed="52"/>
                </patternFill>
              </fill>
            </x14:dxf>
          </x14:cfRule>
          <xm:sqref>DW9</xm:sqref>
        </x14:conditionalFormatting>
        <x14:conditionalFormatting xmlns:xm="http://schemas.microsoft.com/office/excel/2006/main">
          <x14:cfRule type="expression" priority="530" stopIfTrue="1" id="{7F07DCA4-FD94-4D5D-B373-64B164A8FE5F}">
            <xm:f>(60 * HOUR(DX9) + MINUTE(DX9)) &gt;(60 * HOUR(INDEX('1.Locations'!G2:G21,DR9 + 1)) +MINUTE(INDEX('1.Locations'!G2:G21,DR9 + 1)))</xm:f>
            <x14:dxf>
              <fill>
                <patternFill>
                  <bgColor indexed="52"/>
                </patternFill>
              </fill>
            </x14:dxf>
          </x14:cfRule>
          <xm:sqref>DX9</xm:sqref>
        </x14:conditionalFormatting>
        <x14:conditionalFormatting xmlns:xm="http://schemas.microsoft.com/office/excel/2006/main">
          <x14:cfRule type="cellIs" priority="531" stopIfTrue="1" operator="lessThan" id="{91929388-BE69-41C9-A376-FEC3DE4AE404}">
            <xm:f>INDEX('1.Locations'!F2:F21,DR10 + 1)</xm:f>
            <x14:dxf>
              <fill>
                <patternFill>
                  <bgColor indexed="52"/>
                </patternFill>
              </fill>
            </x14:dxf>
          </x14:cfRule>
          <xm:sqref>DW10</xm:sqref>
        </x14:conditionalFormatting>
        <x14:conditionalFormatting xmlns:xm="http://schemas.microsoft.com/office/excel/2006/main">
          <x14:cfRule type="expression" priority="532" stopIfTrue="1" id="{BC21EF25-4200-453B-951B-44DB01251408}">
            <xm:f>(60 * HOUR(DW10) + MINUTE(DW10)) &gt;(60 * HOUR(INDEX('1.Locations'!G2:G21,DR10 + 1)) +MINUTE(INDEX('1.Locations'!G2:G21,DR10 + 1)))</xm:f>
            <x14:dxf>
              <fill>
                <patternFill>
                  <bgColor indexed="52"/>
                </patternFill>
              </fill>
            </x14:dxf>
          </x14:cfRule>
          <xm:sqref>DW10</xm:sqref>
        </x14:conditionalFormatting>
        <x14:conditionalFormatting xmlns:xm="http://schemas.microsoft.com/office/excel/2006/main">
          <x14:cfRule type="expression" priority="533" stopIfTrue="1" id="{5EF1100E-5F2B-4945-B41B-6469E55DD0CD}">
            <xm:f>(60 * HOUR(DX10) + MINUTE(DX10)) &gt;(60 * HOUR(INDEX('1.Locations'!G2:G21,DR10 + 1)) +MINUTE(INDEX('1.Locations'!G2:G21,DR10 + 1)))</xm:f>
            <x14:dxf>
              <fill>
                <patternFill>
                  <bgColor indexed="52"/>
                </patternFill>
              </fill>
            </x14:dxf>
          </x14:cfRule>
          <xm:sqref>DX10</xm:sqref>
        </x14:conditionalFormatting>
        <x14:conditionalFormatting xmlns:xm="http://schemas.microsoft.com/office/excel/2006/main">
          <x14:cfRule type="cellIs" priority="534" stopIfTrue="1" operator="lessThan" id="{AAFD4E7C-0B59-4F82-B761-297506C8E386}">
            <xm:f>INDEX('1.Locations'!F2:F21,DR11 + 1)</xm:f>
            <x14:dxf>
              <fill>
                <patternFill>
                  <bgColor indexed="52"/>
                </patternFill>
              </fill>
            </x14:dxf>
          </x14:cfRule>
          <xm:sqref>DW11</xm:sqref>
        </x14:conditionalFormatting>
        <x14:conditionalFormatting xmlns:xm="http://schemas.microsoft.com/office/excel/2006/main">
          <x14:cfRule type="expression" priority="535" stopIfTrue="1" id="{3056C4F7-ECC2-4093-977E-36131E0A3068}">
            <xm:f>(60 * HOUR(DW11) + MINUTE(DW11)) &gt;(60 * HOUR(INDEX('1.Locations'!G2:G21,DR11 + 1)) +MINUTE(INDEX('1.Locations'!G2:G21,DR11 + 1)))</xm:f>
            <x14:dxf>
              <fill>
                <patternFill>
                  <bgColor indexed="52"/>
                </patternFill>
              </fill>
            </x14:dxf>
          </x14:cfRule>
          <xm:sqref>DW11</xm:sqref>
        </x14:conditionalFormatting>
        <x14:conditionalFormatting xmlns:xm="http://schemas.microsoft.com/office/excel/2006/main">
          <x14:cfRule type="expression" priority="536" stopIfTrue="1" id="{A7E05CD1-A927-4F19-B6E2-61C8B6371A6C}">
            <xm:f>(60 * HOUR(DX11) + MINUTE(DX11)) &gt;(60 * HOUR(INDEX('1.Locations'!G2:G21,DR11 + 1)) +MINUTE(INDEX('1.Locations'!G2:G21,DR11 + 1)))</xm:f>
            <x14:dxf>
              <fill>
                <patternFill>
                  <bgColor indexed="52"/>
                </patternFill>
              </fill>
            </x14:dxf>
          </x14:cfRule>
          <xm:sqref>DX11</xm:sqref>
        </x14:conditionalFormatting>
        <x14:conditionalFormatting xmlns:xm="http://schemas.microsoft.com/office/excel/2006/main">
          <x14:cfRule type="cellIs" priority="537" stopIfTrue="1" operator="lessThan" id="{A340D87E-2AA6-45F1-9CA4-339F09D5CAA7}">
            <xm:f>INDEX('1.Locations'!F2:F21,DR12 + 1)</xm:f>
            <x14:dxf>
              <fill>
                <patternFill>
                  <bgColor indexed="52"/>
                </patternFill>
              </fill>
            </x14:dxf>
          </x14:cfRule>
          <xm:sqref>DW12</xm:sqref>
        </x14:conditionalFormatting>
        <x14:conditionalFormatting xmlns:xm="http://schemas.microsoft.com/office/excel/2006/main">
          <x14:cfRule type="expression" priority="538" stopIfTrue="1" id="{A8C6B2C7-9CF0-4B4B-AD10-891563602111}">
            <xm:f>(60 * HOUR(DW12) + MINUTE(DW12)) &gt;(60 * HOUR(INDEX('1.Locations'!G2:G21,DR12 + 1)) +MINUTE(INDEX('1.Locations'!G2:G21,DR12 + 1)))</xm:f>
            <x14:dxf>
              <fill>
                <patternFill>
                  <bgColor indexed="52"/>
                </patternFill>
              </fill>
            </x14:dxf>
          </x14:cfRule>
          <xm:sqref>DW12</xm:sqref>
        </x14:conditionalFormatting>
        <x14:conditionalFormatting xmlns:xm="http://schemas.microsoft.com/office/excel/2006/main">
          <x14:cfRule type="expression" priority="539" stopIfTrue="1" id="{3397F1FE-317B-41E7-B840-0894754FE7E5}">
            <xm:f>(60 * HOUR(DX12) + MINUTE(DX12)) &gt;(60 * HOUR(INDEX('1.Locations'!G2:G21,DR12 + 1)) +MINUTE(INDEX('1.Locations'!G2:G21,DR12 + 1)))</xm:f>
            <x14:dxf>
              <fill>
                <patternFill>
                  <bgColor indexed="52"/>
                </patternFill>
              </fill>
            </x14:dxf>
          </x14:cfRule>
          <xm:sqref>DX12</xm:sqref>
        </x14:conditionalFormatting>
        <x14:conditionalFormatting xmlns:xm="http://schemas.microsoft.com/office/excel/2006/main">
          <x14:cfRule type="cellIs" priority="540" stopIfTrue="1" operator="lessThan" id="{07092334-01F5-45F6-9A76-BB678FF893BC}">
            <xm:f>INDEX('1.Locations'!F2:F21,DR13 + 1)</xm:f>
            <x14:dxf>
              <fill>
                <patternFill>
                  <bgColor indexed="52"/>
                </patternFill>
              </fill>
            </x14:dxf>
          </x14:cfRule>
          <xm:sqref>DW13</xm:sqref>
        </x14:conditionalFormatting>
        <x14:conditionalFormatting xmlns:xm="http://schemas.microsoft.com/office/excel/2006/main">
          <x14:cfRule type="expression" priority="541" stopIfTrue="1" id="{B7C8482B-1519-4EF6-8F58-C52F0934C72B}">
            <xm:f>(60 * HOUR(DW13) + MINUTE(DW13)) &gt;(60 * HOUR(INDEX('1.Locations'!G2:G21,DR13 + 1)) +MINUTE(INDEX('1.Locations'!G2:G21,DR13 + 1)))</xm:f>
            <x14:dxf>
              <fill>
                <patternFill>
                  <bgColor indexed="52"/>
                </patternFill>
              </fill>
            </x14:dxf>
          </x14:cfRule>
          <xm:sqref>DW13</xm:sqref>
        </x14:conditionalFormatting>
        <x14:conditionalFormatting xmlns:xm="http://schemas.microsoft.com/office/excel/2006/main">
          <x14:cfRule type="expression" priority="542" stopIfTrue="1" id="{6A8B6307-FD14-4512-B6E9-11B57EEBCD6B}">
            <xm:f>(60 * HOUR(DX13) + MINUTE(DX13)) &gt;(60 * HOUR(INDEX('1.Locations'!G2:G21,DR13 + 1)) +MINUTE(INDEX('1.Locations'!G2:G21,DR13 + 1)))</xm:f>
            <x14:dxf>
              <fill>
                <patternFill>
                  <bgColor indexed="52"/>
                </patternFill>
              </fill>
            </x14:dxf>
          </x14:cfRule>
          <xm:sqref>DX13</xm:sqref>
        </x14:conditionalFormatting>
        <x14:conditionalFormatting xmlns:xm="http://schemas.microsoft.com/office/excel/2006/main">
          <x14:cfRule type="cellIs" priority="543" stopIfTrue="1" operator="lessThan" id="{69370B63-0629-4CAB-B72A-7AEB6BBC53FB}">
            <xm:f>INDEX('1.Locations'!F2:F21,DR14 + 1)</xm:f>
            <x14:dxf>
              <fill>
                <patternFill>
                  <bgColor indexed="52"/>
                </patternFill>
              </fill>
            </x14:dxf>
          </x14:cfRule>
          <xm:sqref>DW14</xm:sqref>
        </x14:conditionalFormatting>
        <x14:conditionalFormatting xmlns:xm="http://schemas.microsoft.com/office/excel/2006/main">
          <x14:cfRule type="expression" priority="544" stopIfTrue="1" id="{44B40B99-7B9F-4A03-A539-53C99B0DA8CB}">
            <xm:f>(60 * HOUR(DW14) + MINUTE(DW14)) &gt;(60 * HOUR(INDEX('1.Locations'!G2:G21,DR14 + 1)) +MINUTE(INDEX('1.Locations'!G2:G21,DR14 + 1)))</xm:f>
            <x14:dxf>
              <fill>
                <patternFill>
                  <bgColor indexed="52"/>
                </patternFill>
              </fill>
            </x14:dxf>
          </x14:cfRule>
          <xm:sqref>DW14</xm:sqref>
        </x14:conditionalFormatting>
        <x14:conditionalFormatting xmlns:xm="http://schemas.microsoft.com/office/excel/2006/main">
          <x14:cfRule type="expression" priority="545" stopIfTrue="1" id="{CF5BC37E-D9D7-443B-A888-8E95A585FEAB}">
            <xm:f>(60 * HOUR(DX14) + MINUTE(DX14)) &gt;(60 * HOUR(INDEX('1.Locations'!G2:G21,DR14 + 1)) +MINUTE(INDEX('1.Locations'!G2:G21,DR14 + 1)))</xm:f>
            <x14:dxf>
              <fill>
                <patternFill>
                  <bgColor indexed="52"/>
                </patternFill>
              </fill>
            </x14:dxf>
          </x14:cfRule>
          <xm:sqref>DX14</xm:sqref>
        </x14:conditionalFormatting>
        <x14:conditionalFormatting xmlns:xm="http://schemas.microsoft.com/office/excel/2006/main">
          <x14:cfRule type="cellIs" priority="546" stopIfTrue="1" operator="lessThan" id="{3E5777F6-7417-4D0F-BA64-F97821186726}">
            <xm:f>INDEX('1.Locations'!F2:F21,DR15 + 1)</xm:f>
            <x14:dxf>
              <fill>
                <patternFill>
                  <bgColor indexed="52"/>
                </patternFill>
              </fill>
            </x14:dxf>
          </x14:cfRule>
          <xm:sqref>DW15</xm:sqref>
        </x14:conditionalFormatting>
        <x14:conditionalFormatting xmlns:xm="http://schemas.microsoft.com/office/excel/2006/main">
          <x14:cfRule type="expression" priority="547" stopIfTrue="1" id="{52F3371D-B759-4155-B078-4C52ABA15FD1}">
            <xm:f>(60 * HOUR(DW15) + MINUTE(DW15)) &gt;(60 * HOUR(INDEX('1.Locations'!G2:G21,DR15 + 1)) +MINUTE(INDEX('1.Locations'!G2:G21,DR15 + 1)))</xm:f>
            <x14:dxf>
              <fill>
                <patternFill>
                  <bgColor indexed="52"/>
                </patternFill>
              </fill>
            </x14:dxf>
          </x14:cfRule>
          <xm:sqref>DW15</xm:sqref>
        </x14:conditionalFormatting>
        <x14:conditionalFormatting xmlns:xm="http://schemas.microsoft.com/office/excel/2006/main">
          <x14:cfRule type="expression" priority="548" stopIfTrue="1" id="{21385609-F22D-4FD3-BF5D-0177FE4988A9}">
            <xm:f>(60 * HOUR(DX15) + MINUTE(DX15)) &gt;(60 * HOUR(INDEX('1.Locations'!G2:G21,DR15 + 1)) +MINUTE(INDEX('1.Locations'!G2:G21,DR15 + 1)))</xm:f>
            <x14:dxf>
              <fill>
                <patternFill>
                  <bgColor indexed="52"/>
                </patternFill>
              </fill>
            </x14:dxf>
          </x14:cfRule>
          <xm:sqref>DX15</xm:sqref>
        </x14:conditionalFormatting>
        <x14:conditionalFormatting xmlns:xm="http://schemas.microsoft.com/office/excel/2006/main">
          <x14:cfRule type="cellIs" priority="549" stopIfTrue="1" operator="lessThan" id="{17ED8C1F-65DC-4795-ADAD-F6DAD67CAE49}">
            <xm:f>INDEX('1.Locations'!F2:F21,DR16 + 1)</xm:f>
            <x14:dxf>
              <fill>
                <patternFill>
                  <bgColor indexed="52"/>
                </patternFill>
              </fill>
            </x14:dxf>
          </x14:cfRule>
          <xm:sqref>DW16</xm:sqref>
        </x14:conditionalFormatting>
        <x14:conditionalFormatting xmlns:xm="http://schemas.microsoft.com/office/excel/2006/main">
          <x14:cfRule type="expression" priority="550" stopIfTrue="1" id="{998EE23F-1A08-4BDB-A6E9-F813C4861CDB}">
            <xm:f>(60 * HOUR(DW16) + MINUTE(DW16)) &gt;(60 * HOUR(INDEX('1.Locations'!G2:G21,DR16 + 1)) +MINUTE(INDEX('1.Locations'!G2:G21,DR16 + 1)))</xm:f>
            <x14:dxf>
              <fill>
                <patternFill>
                  <bgColor indexed="52"/>
                </patternFill>
              </fill>
            </x14:dxf>
          </x14:cfRule>
          <xm:sqref>DW16</xm:sqref>
        </x14:conditionalFormatting>
        <x14:conditionalFormatting xmlns:xm="http://schemas.microsoft.com/office/excel/2006/main">
          <x14:cfRule type="expression" priority="551" stopIfTrue="1" id="{3864A221-CF8A-4DDA-AF6A-CCF82EC564DB}">
            <xm:f>(60 * HOUR(DX16) + MINUTE(DX16)) &gt;(60 * HOUR(INDEX('1.Locations'!G2:G21,DR16 + 1)) +MINUTE(INDEX('1.Locations'!G2:G21,DR16 + 1)))</xm:f>
            <x14:dxf>
              <fill>
                <patternFill>
                  <bgColor indexed="52"/>
                </patternFill>
              </fill>
            </x14:dxf>
          </x14:cfRule>
          <xm:sqref>DX16</xm:sqref>
        </x14:conditionalFormatting>
        <x14:conditionalFormatting xmlns:xm="http://schemas.microsoft.com/office/excel/2006/main">
          <x14:cfRule type="cellIs" priority="552" stopIfTrue="1" operator="lessThan" id="{668E5DF2-96CF-4598-808B-AE33ED13CC20}">
            <xm:f>INDEX('1.Locations'!F2:F21,DR17 + 1)</xm:f>
            <x14:dxf>
              <fill>
                <patternFill>
                  <bgColor indexed="52"/>
                </patternFill>
              </fill>
            </x14:dxf>
          </x14:cfRule>
          <xm:sqref>DW17</xm:sqref>
        </x14:conditionalFormatting>
        <x14:conditionalFormatting xmlns:xm="http://schemas.microsoft.com/office/excel/2006/main">
          <x14:cfRule type="expression" priority="553" stopIfTrue="1" id="{50F655D9-E824-4300-8823-17F52953996A}">
            <xm:f>(60 * HOUR(DW17) + MINUTE(DW17)) &gt;(60 * HOUR(INDEX('1.Locations'!G2:G21,DR17 + 1)) +MINUTE(INDEX('1.Locations'!G2:G21,DR17 + 1)))</xm:f>
            <x14:dxf>
              <fill>
                <patternFill>
                  <bgColor indexed="52"/>
                </patternFill>
              </fill>
            </x14:dxf>
          </x14:cfRule>
          <xm:sqref>DW17</xm:sqref>
        </x14:conditionalFormatting>
        <x14:conditionalFormatting xmlns:xm="http://schemas.microsoft.com/office/excel/2006/main">
          <x14:cfRule type="expression" priority="554" stopIfTrue="1" id="{63BB0E44-0440-41B1-A4D1-FEBEFF657CD0}">
            <xm:f>(60 * HOUR(DX17) + MINUTE(DX17)) &gt;(60 * HOUR(INDEX('1.Locations'!G2:G21,DR17 + 1)) +MINUTE(INDEX('1.Locations'!G2:G21,DR17 + 1)))</xm:f>
            <x14:dxf>
              <fill>
                <patternFill>
                  <bgColor indexed="52"/>
                </patternFill>
              </fill>
            </x14:dxf>
          </x14:cfRule>
          <xm:sqref>DX17</xm:sqref>
        </x14:conditionalFormatting>
        <x14:conditionalFormatting xmlns:xm="http://schemas.microsoft.com/office/excel/2006/main">
          <x14:cfRule type="cellIs" priority="555" stopIfTrue="1" operator="lessThan" id="{48F04070-AE3E-4321-9276-69CCFAFAB4A7}">
            <xm:f>INDEX('1.Locations'!F2:F21,DR18 + 1)</xm:f>
            <x14:dxf>
              <fill>
                <patternFill>
                  <bgColor indexed="52"/>
                </patternFill>
              </fill>
            </x14:dxf>
          </x14:cfRule>
          <xm:sqref>DW18</xm:sqref>
        </x14:conditionalFormatting>
        <x14:conditionalFormatting xmlns:xm="http://schemas.microsoft.com/office/excel/2006/main">
          <x14:cfRule type="expression" priority="556" stopIfTrue="1" id="{15B7ED76-5844-4AB4-A085-D0CC7634DA42}">
            <xm:f>(60 * HOUR(DW18) + MINUTE(DW18)) &gt;(60 * HOUR(INDEX('1.Locations'!G2:G21,DR18 + 1)) +MINUTE(INDEX('1.Locations'!G2:G21,DR18 + 1)))</xm:f>
            <x14:dxf>
              <fill>
                <patternFill>
                  <bgColor indexed="52"/>
                </patternFill>
              </fill>
            </x14:dxf>
          </x14:cfRule>
          <xm:sqref>DW18</xm:sqref>
        </x14:conditionalFormatting>
        <x14:conditionalFormatting xmlns:xm="http://schemas.microsoft.com/office/excel/2006/main">
          <x14:cfRule type="expression" priority="557" stopIfTrue="1" id="{EF49FCD7-9EF5-4B24-BD1F-90D5D28E3CFF}">
            <xm:f>(60 * HOUR(DX18) + MINUTE(DX18)) &gt;(60 * HOUR(INDEX('1.Locations'!G2:G21,DR18 + 1)) +MINUTE(INDEX('1.Locations'!G2:G21,DR18 + 1)))</xm:f>
            <x14:dxf>
              <fill>
                <patternFill>
                  <bgColor indexed="52"/>
                </patternFill>
              </fill>
            </x14:dxf>
          </x14:cfRule>
          <xm:sqref>DX18</xm:sqref>
        </x14:conditionalFormatting>
        <x14:conditionalFormatting xmlns:xm="http://schemas.microsoft.com/office/excel/2006/main">
          <x14:cfRule type="cellIs" priority="558" stopIfTrue="1" operator="lessThan" id="{4FCAC7B2-B0A6-4FD1-8423-493DA7F4A157}">
            <xm:f>INDEX('1.Locations'!F2:F21,DR19 + 1)</xm:f>
            <x14:dxf>
              <fill>
                <patternFill>
                  <bgColor indexed="52"/>
                </patternFill>
              </fill>
            </x14:dxf>
          </x14:cfRule>
          <xm:sqref>DW19</xm:sqref>
        </x14:conditionalFormatting>
        <x14:conditionalFormatting xmlns:xm="http://schemas.microsoft.com/office/excel/2006/main">
          <x14:cfRule type="expression" priority="559" stopIfTrue="1" id="{62EC894B-34F1-4DD5-96D2-1F259926FE2F}">
            <xm:f>(60 * HOUR(DW19) + MINUTE(DW19)) &gt;(60 * HOUR(INDEX('1.Locations'!G2:G21,DR19 + 1)) +MINUTE(INDEX('1.Locations'!G2:G21,DR19 + 1)))</xm:f>
            <x14:dxf>
              <fill>
                <patternFill>
                  <bgColor indexed="52"/>
                </patternFill>
              </fill>
            </x14:dxf>
          </x14:cfRule>
          <xm:sqref>DW19</xm:sqref>
        </x14:conditionalFormatting>
        <x14:conditionalFormatting xmlns:xm="http://schemas.microsoft.com/office/excel/2006/main">
          <x14:cfRule type="expression" priority="560" stopIfTrue="1" id="{CA1BBEC9-4F1F-41CE-9C92-78A3576505DF}">
            <xm:f>(60 * HOUR(DX19) + MINUTE(DX19)) &gt;(60 * HOUR(INDEX('1.Locations'!G2:G21,DR19 + 1)) +MINUTE(INDEX('1.Locations'!G2:G21,DR19 + 1)))</xm:f>
            <x14:dxf>
              <fill>
                <patternFill>
                  <bgColor indexed="52"/>
                </patternFill>
              </fill>
            </x14:dxf>
          </x14:cfRule>
          <xm:sqref>DX19</xm:sqref>
        </x14:conditionalFormatting>
        <x14:conditionalFormatting xmlns:xm="http://schemas.microsoft.com/office/excel/2006/main">
          <x14:cfRule type="cellIs" priority="561" stopIfTrue="1" operator="lessThan" id="{6E8EA391-2D81-4A1C-B1DB-D7824D193EDF}">
            <xm:f>INDEX('1.Locations'!F2:F21,DR20 + 1)</xm:f>
            <x14:dxf>
              <fill>
                <patternFill>
                  <bgColor indexed="52"/>
                </patternFill>
              </fill>
            </x14:dxf>
          </x14:cfRule>
          <xm:sqref>DW20</xm:sqref>
        </x14:conditionalFormatting>
        <x14:conditionalFormatting xmlns:xm="http://schemas.microsoft.com/office/excel/2006/main">
          <x14:cfRule type="expression" priority="562" stopIfTrue="1" id="{CCE2A31D-D119-4D46-B526-7ECDCE04EBF8}">
            <xm:f>(60 * HOUR(DW20) + MINUTE(DW20)) &gt;(60 * HOUR(INDEX('1.Locations'!G2:G21,DR20 + 1)) +MINUTE(INDEX('1.Locations'!G2:G21,DR20 + 1)))</xm:f>
            <x14:dxf>
              <fill>
                <patternFill>
                  <bgColor indexed="52"/>
                </patternFill>
              </fill>
            </x14:dxf>
          </x14:cfRule>
          <xm:sqref>DW20</xm:sqref>
        </x14:conditionalFormatting>
        <x14:conditionalFormatting xmlns:xm="http://schemas.microsoft.com/office/excel/2006/main">
          <x14:cfRule type="expression" priority="563" stopIfTrue="1" id="{97594671-EFAF-4D5C-AC58-E630F04A00B2}">
            <xm:f>(60 * HOUR(DX20) + MINUTE(DX20)) &gt;(60 * HOUR(INDEX('1.Locations'!G2:G21,DR20 + 1)) +MINUTE(INDEX('1.Locations'!G2:G21,DR20 + 1)))</xm:f>
            <x14:dxf>
              <fill>
                <patternFill>
                  <bgColor indexed="52"/>
                </patternFill>
              </fill>
            </x14:dxf>
          </x14:cfRule>
          <xm:sqref>DX20</xm:sqref>
        </x14:conditionalFormatting>
        <x14:conditionalFormatting xmlns:xm="http://schemas.microsoft.com/office/excel/2006/main">
          <x14:cfRule type="cellIs" priority="564" stopIfTrue="1" operator="lessThan" id="{510BDBD8-8B3C-41F5-8877-55129F467181}">
            <xm:f>INDEX('1.Locations'!F2:F21,DR21 + 1)</xm:f>
            <x14:dxf>
              <fill>
                <patternFill>
                  <bgColor indexed="52"/>
                </patternFill>
              </fill>
            </x14:dxf>
          </x14:cfRule>
          <xm:sqref>DW21</xm:sqref>
        </x14:conditionalFormatting>
        <x14:conditionalFormatting xmlns:xm="http://schemas.microsoft.com/office/excel/2006/main">
          <x14:cfRule type="expression" priority="565" stopIfTrue="1" id="{EB36E575-C2CC-4552-9B90-F3D5CD909A83}">
            <xm:f>(60 * HOUR(DW21) + MINUTE(DW21)) &gt;(60 * HOUR(INDEX('1.Locations'!G2:G21,DR21 + 1)) +MINUTE(INDEX('1.Locations'!G2:G21,DR21 + 1)))</xm:f>
            <x14:dxf>
              <fill>
                <patternFill>
                  <bgColor indexed="52"/>
                </patternFill>
              </fill>
            </x14:dxf>
          </x14:cfRule>
          <xm:sqref>DW21</xm:sqref>
        </x14:conditionalFormatting>
        <x14:conditionalFormatting xmlns:xm="http://schemas.microsoft.com/office/excel/2006/main">
          <x14:cfRule type="expression" priority="566" stopIfTrue="1" id="{9B522C9A-B461-4255-BEBF-D9B4438F4220}">
            <xm:f>(60 * HOUR(DX21) + MINUTE(DX21)) &gt;(60 * HOUR(INDEX('1.Locations'!G2:G21,DR21 + 1)) +MINUTE(INDEX('1.Locations'!G2:G21,DR21 + 1)))</xm:f>
            <x14:dxf>
              <fill>
                <patternFill>
                  <bgColor indexed="52"/>
                </patternFill>
              </fill>
            </x14:dxf>
          </x14:cfRule>
          <xm:sqref>DX21</xm:sqref>
        </x14:conditionalFormatting>
        <x14:conditionalFormatting xmlns:xm="http://schemas.microsoft.com/office/excel/2006/main">
          <x14:cfRule type="cellIs" priority="567" stopIfTrue="1" operator="lessThan" id="{07B0F9A6-0F1A-4249-A50D-3C36D2A4EE54}">
            <xm:f>INDEX('1.Locations'!F2:F21,DR22 + 1)</xm:f>
            <x14:dxf>
              <fill>
                <patternFill>
                  <bgColor indexed="52"/>
                </patternFill>
              </fill>
            </x14:dxf>
          </x14:cfRule>
          <xm:sqref>DW22</xm:sqref>
        </x14:conditionalFormatting>
        <x14:conditionalFormatting xmlns:xm="http://schemas.microsoft.com/office/excel/2006/main">
          <x14:cfRule type="expression" priority="568" stopIfTrue="1" id="{635A0CE2-91BA-4B92-B099-35218606AF11}">
            <xm:f>(60 * HOUR(DW22) + MINUTE(DW22)) &gt;(60 * HOUR(INDEX('1.Locations'!G2:G21,DR22 + 1)) +MINUTE(INDEX('1.Locations'!G2:G21,DR22 + 1)))</xm:f>
            <x14:dxf>
              <fill>
                <patternFill>
                  <bgColor indexed="52"/>
                </patternFill>
              </fill>
            </x14:dxf>
          </x14:cfRule>
          <xm:sqref>DW22</xm:sqref>
        </x14:conditionalFormatting>
        <x14:conditionalFormatting xmlns:xm="http://schemas.microsoft.com/office/excel/2006/main">
          <x14:cfRule type="expression" priority="569" stopIfTrue="1" id="{853E3C2F-703B-43A2-9AE6-8DDE56CB643C}">
            <xm:f>(60 * HOUR(DX22) + MINUTE(DX22)) &gt;(60 * HOUR(INDEX('1.Locations'!G2:G21,DR22 + 1)) +MINUTE(INDEX('1.Locations'!G2:G21,DR22 + 1)))</xm:f>
            <x14:dxf>
              <fill>
                <patternFill>
                  <bgColor indexed="52"/>
                </patternFill>
              </fill>
            </x14:dxf>
          </x14:cfRule>
          <xm:sqref>DX22</xm:sqref>
        </x14:conditionalFormatting>
        <x14:conditionalFormatting xmlns:xm="http://schemas.microsoft.com/office/excel/2006/main">
          <x14:cfRule type="cellIs" priority="570" stopIfTrue="1" operator="lessThan" id="{5FED2E8A-7BF0-4D13-93F5-CDF842026CB3}">
            <xm:f>INDEX('1.Locations'!F2:F21,DR23 + 1)</xm:f>
            <x14:dxf>
              <fill>
                <patternFill>
                  <bgColor indexed="52"/>
                </patternFill>
              </fill>
            </x14:dxf>
          </x14:cfRule>
          <xm:sqref>DW23</xm:sqref>
        </x14:conditionalFormatting>
        <x14:conditionalFormatting xmlns:xm="http://schemas.microsoft.com/office/excel/2006/main">
          <x14:cfRule type="expression" priority="571" stopIfTrue="1" id="{E9998979-9357-46CC-81CF-03E665413F66}">
            <xm:f>(60 * HOUR(DW23) + MINUTE(DW23)) &gt;(60 * HOUR(INDEX('1.Locations'!G2:G21,DR23 + 1)) +MINUTE(INDEX('1.Locations'!G2:G21,DR23 + 1)))</xm:f>
            <x14:dxf>
              <fill>
                <patternFill>
                  <bgColor indexed="52"/>
                </patternFill>
              </fill>
            </x14:dxf>
          </x14:cfRule>
          <xm:sqref>DW23</xm:sqref>
        </x14:conditionalFormatting>
        <x14:conditionalFormatting xmlns:xm="http://schemas.microsoft.com/office/excel/2006/main">
          <x14:cfRule type="expression" priority="572" stopIfTrue="1" id="{7C23A91C-4695-4B4D-BB89-EA6CEF269C67}">
            <xm:f>(60 * HOUR(DX23) + MINUTE(DX23)) &gt;(60 * HOUR(INDEX('1.Locations'!G2:G21,DR23 + 1)) +MINUTE(INDEX('1.Locations'!G2:G21,DR23 + 1)))</xm:f>
            <x14:dxf>
              <fill>
                <patternFill>
                  <bgColor indexed="52"/>
                </patternFill>
              </fill>
            </x14:dxf>
          </x14:cfRule>
          <xm:sqref>DX23</xm:sqref>
        </x14:conditionalFormatting>
        <x14:conditionalFormatting xmlns:xm="http://schemas.microsoft.com/office/excel/2006/main">
          <x14:cfRule type="cellIs" priority="573" stopIfTrue="1" operator="lessThan" id="{13AB186F-D44C-4843-8271-A033DB260A38}">
            <xm:f>INDEX('1.Locations'!F2:F21,DR24 + 1)</xm:f>
            <x14:dxf>
              <fill>
                <patternFill>
                  <bgColor indexed="52"/>
                </patternFill>
              </fill>
            </x14:dxf>
          </x14:cfRule>
          <xm:sqref>DW24</xm:sqref>
        </x14:conditionalFormatting>
        <x14:conditionalFormatting xmlns:xm="http://schemas.microsoft.com/office/excel/2006/main">
          <x14:cfRule type="expression" priority="574" stopIfTrue="1" id="{B96CA6F3-9CBF-4A6E-A9E6-A500A6834F2E}">
            <xm:f>(60 * HOUR(DW24) + MINUTE(DW24)) &gt;(60 * HOUR(INDEX('1.Locations'!G2:G21,DR24 + 1)) +MINUTE(INDEX('1.Locations'!G2:G21,DR24 + 1)))</xm:f>
            <x14:dxf>
              <fill>
                <patternFill>
                  <bgColor indexed="52"/>
                </patternFill>
              </fill>
            </x14:dxf>
          </x14:cfRule>
          <xm:sqref>DW24</xm:sqref>
        </x14:conditionalFormatting>
        <x14:conditionalFormatting xmlns:xm="http://schemas.microsoft.com/office/excel/2006/main">
          <x14:cfRule type="expression" priority="575" stopIfTrue="1" id="{07962656-32E9-440E-9983-F472F60B18A6}">
            <xm:f>(60 * HOUR(DX24) + MINUTE(DX24)) &gt;(60 * HOUR(INDEX('1.Locations'!G2:G21,DR24 + 1)) +MINUTE(INDEX('1.Locations'!G2:G21,DR24 + 1)))</xm:f>
            <x14:dxf>
              <fill>
                <patternFill>
                  <bgColor indexed="52"/>
                </patternFill>
              </fill>
            </x14:dxf>
          </x14:cfRule>
          <xm:sqref>DX24</xm:sqref>
        </x14:conditionalFormatting>
        <x14:conditionalFormatting xmlns:xm="http://schemas.microsoft.com/office/excel/2006/main">
          <x14:cfRule type="cellIs" priority="576" stopIfTrue="1" operator="lessThan" id="{4FC2A3ED-FEB1-4797-95EF-ABBB6BA6260F}">
            <xm:f>INDEX('1.Locations'!F2:F21,DR25 + 1)</xm:f>
            <x14:dxf>
              <fill>
                <patternFill>
                  <bgColor indexed="52"/>
                </patternFill>
              </fill>
            </x14:dxf>
          </x14:cfRule>
          <xm:sqref>DW25</xm:sqref>
        </x14:conditionalFormatting>
        <x14:conditionalFormatting xmlns:xm="http://schemas.microsoft.com/office/excel/2006/main">
          <x14:cfRule type="expression" priority="577" stopIfTrue="1" id="{36F927AA-4213-4F36-8FEF-2ADCFE46CC0E}">
            <xm:f>(60 * HOUR(DW25) + MINUTE(DW25)) &gt;(60 * HOUR(INDEX('1.Locations'!G2:G21,DR25 + 1)) +MINUTE(INDEX('1.Locations'!G2:G21,DR25 + 1)))</xm:f>
            <x14:dxf>
              <fill>
                <patternFill>
                  <bgColor indexed="52"/>
                </patternFill>
              </fill>
            </x14:dxf>
          </x14:cfRule>
          <xm:sqref>DW25</xm:sqref>
        </x14:conditionalFormatting>
        <x14:conditionalFormatting xmlns:xm="http://schemas.microsoft.com/office/excel/2006/main">
          <x14:cfRule type="expression" priority="578" stopIfTrue="1" id="{58095FCF-D947-46F3-B2B3-3DD3459605F5}">
            <xm:f>(60 * HOUR(DX25) + MINUTE(DX25)) &gt;(60 * HOUR(INDEX('1.Locations'!G2:G21,DR25 + 1)) +MINUTE(INDEX('1.Locations'!G2:G21,DR25 + 1)))</xm:f>
            <x14:dxf>
              <fill>
                <patternFill>
                  <bgColor indexed="52"/>
                </patternFill>
              </fill>
            </x14:dxf>
          </x14:cfRule>
          <xm:sqref>DX25</xm:sqref>
        </x14:conditionalFormatting>
        <x14:conditionalFormatting xmlns:xm="http://schemas.microsoft.com/office/excel/2006/main">
          <x14:cfRule type="cellIs" priority="579" stopIfTrue="1" operator="greaterThan" id="{BA07054B-483E-4261-A3E4-E48C15BF8B30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DU6:DU25</xm:sqref>
        </x14:conditionalFormatting>
        <x14:conditionalFormatting xmlns:xm="http://schemas.microsoft.com/office/excel/2006/main">
          <x14:cfRule type="cellIs" priority="580" stopIfTrue="1" operator="greaterThan" id="{7600BB96-722D-42F6-A627-0853054DEC38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EE6:EE25</xm:sqref>
        </x14:conditionalFormatting>
        <x14:conditionalFormatting xmlns:xm="http://schemas.microsoft.com/office/excel/2006/main">
          <x14:cfRule type="cellIs" priority="582" stopIfTrue="1" operator="greaterThan" id="{512B2BE6-5E7E-4F1B-8E93-26DF2259D05F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DV6:DV25</xm:sqref>
        </x14:conditionalFormatting>
        <x14:conditionalFormatting xmlns:xm="http://schemas.microsoft.com/office/excel/2006/main">
          <x14:cfRule type="cellIs" priority="583" stopIfTrue="1" operator="greaterThan" id="{8F5BF087-4453-4335-AA0E-9713245175DF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DY6:DY25</xm:sqref>
        </x14:conditionalFormatting>
        <x14:conditionalFormatting xmlns:xm="http://schemas.microsoft.com/office/excel/2006/main">
          <x14:cfRule type="expression" priority="585" stopIfTrue="1" id="{FD44C6C1-F123-4999-A691-0CA7366D07C6}">
            <xm:f>(60 * HOUR(EN5) + MINUTE(EN5)) &gt;(60 * HOUR(INDEX('1.Locations'!G2:G21,EI5 + 1)) +MINUTE(INDEX('1.Locations'!G2:G21,EI5 + 1)))</xm:f>
            <x14:dxf>
              <fill>
                <patternFill>
                  <bgColor indexed="52"/>
                </patternFill>
              </fill>
            </x14:dxf>
          </x14:cfRule>
          <xm:sqref>EN5</xm:sqref>
        </x14:conditionalFormatting>
        <x14:conditionalFormatting xmlns:xm="http://schemas.microsoft.com/office/excel/2006/main">
          <x14:cfRule type="expression" priority="586" stopIfTrue="1" id="{77E423F2-8D86-4616-8DC0-FB473D80871F}">
            <xm:f>(60 * HOUR(EO5) + MINUTE(EO5)) &gt;(60 * HOUR(INDEX('1.Locations'!G2:G21,EI5 + 1)) +MINUTE(INDEX('1.Locations'!G2:G21,EI5 + 1)))</xm:f>
            <x14:dxf>
              <fill>
                <patternFill>
                  <bgColor indexed="52"/>
                </patternFill>
              </fill>
            </x14:dxf>
          </x14:cfRule>
          <xm:sqref>EO5</xm:sqref>
        </x14:conditionalFormatting>
        <x14:conditionalFormatting xmlns:xm="http://schemas.microsoft.com/office/excel/2006/main">
          <x14:cfRule type="cellIs" priority="587" stopIfTrue="1" operator="lessThan" id="{AA980153-9965-4CDE-AD16-DA08DB2A0967}">
            <xm:f>INDEX('1.Locations'!F2:F21,EI6 + 1)</xm:f>
            <x14:dxf>
              <fill>
                <patternFill>
                  <bgColor indexed="52"/>
                </patternFill>
              </fill>
            </x14:dxf>
          </x14:cfRule>
          <xm:sqref>EN6</xm:sqref>
        </x14:conditionalFormatting>
        <x14:conditionalFormatting xmlns:xm="http://schemas.microsoft.com/office/excel/2006/main">
          <x14:cfRule type="expression" priority="588" stopIfTrue="1" id="{034C0736-7052-4081-9CBB-38FE759A3A32}">
            <xm:f>(60 * HOUR(EN6) + MINUTE(EN6)) &gt;(60 * HOUR(INDEX('1.Locations'!G2:G21,EI6 + 1)) +MINUTE(INDEX('1.Locations'!G2:G21,EI6 + 1)))</xm:f>
            <x14:dxf>
              <fill>
                <patternFill>
                  <bgColor indexed="52"/>
                </patternFill>
              </fill>
            </x14:dxf>
          </x14:cfRule>
          <xm:sqref>EN6</xm:sqref>
        </x14:conditionalFormatting>
        <x14:conditionalFormatting xmlns:xm="http://schemas.microsoft.com/office/excel/2006/main">
          <x14:cfRule type="expression" priority="589" stopIfTrue="1" id="{CA2EE275-4C49-41C7-8C28-B673AD13B286}">
            <xm:f>(60 * HOUR(EO6) + MINUTE(EO6)) &gt;(60 * HOUR(INDEX('1.Locations'!G2:G21,EI6 + 1)) +MINUTE(INDEX('1.Locations'!G2:G21,EI6 + 1)))</xm:f>
            <x14:dxf>
              <fill>
                <patternFill>
                  <bgColor indexed="52"/>
                </patternFill>
              </fill>
            </x14:dxf>
          </x14:cfRule>
          <xm:sqref>EO6</xm:sqref>
        </x14:conditionalFormatting>
        <x14:conditionalFormatting xmlns:xm="http://schemas.microsoft.com/office/excel/2006/main">
          <x14:cfRule type="cellIs" priority="590" stopIfTrue="1" operator="lessThan" id="{B87E2670-D97D-4B8A-8913-A362D1D303D6}">
            <xm:f>INDEX('1.Locations'!F2:F21,EI7 + 1)</xm:f>
            <x14:dxf>
              <fill>
                <patternFill>
                  <bgColor indexed="52"/>
                </patternFill>
              </fill>
            </x14:dxf>
          </x14:cfRule>
          <xm:sqref>EN7</xm:sqref>
        </x14:conditionalFormatting>
        <x14:conditionalFormatting xmlns:xm="http://schemas.microsoft.com/office/excel/2006/main">
          <x14:cfRule type="expression" priority="591" stopIfTrue="1" id="{CCD3CE61-A4A4-4BBE-96E7-D9090E704E25}">
            <xm:f>(60 * HOUR(EN7) + MINUTE(EN7)) &gt;(60 * HOUR(INDEX('1.Locations'!G2:G21,EI7 + 1)) +MINUTE(INDEX('1.Locations'!G2:G21,EI7 + 1)))</xm:f>
            <x14:dxf>
              <fill>
                <patternFill>
                  <bgColor indexed="52"/>
                </patternFill>
              </fill>
            </x14:dxf>
          </x14:cfRule>
          <xm:sqref>EN7</xm:sqref>
        </x14:conditionalFormatting>
        <x14:conditionalFormatting xmlns:xm="http://schemas.microsoft.com/office/excel/2006/main">
          <x14:cfRule type="expression" priority="592" stopIfTrue="1" id="{169B38BB-5F5C-4BAC-920A-4B4872250C57}">
            <xm:f>(60 * HOUR(EO7) + MINUTE(EO7)) &gt;(60 * HOUR(INDEX('1.Locations'!G2:G21,EI7 + 1)) +MINUTE(INDEX('1.Locations'!G2:G21,EI7 + 1)))</xm:f>
            <x14:dxf>
              <fill>
                <patternFill>
                  <bgColor indexed="52"/>
                </patternFill>
              </fill>
            </x14:dxf>
          </x14:cfRule>
          <xm:sqref>EO7</xm:sqref>
        </x14:conditionalFormatting>
        <x14:conditionalFormatting xmlns:xm="http://schemas.microsoft.com/office/excel/2006/main">
          <x14:cfRule type="cellIs" priority="593" stopIfTrue="1" operator="lessThan" id="{C5D41FEE-959B-43C8-B5FE-6B6B519CAF25}">
            <xm:f>INDEX('1.Locations'!F2:F21,EI8 + 1)</xm:f>
            <x14:dxf>
              <fill>
                <patternFill>
                  <bgColor indexed="52"/>
                </patternFill>
              </fill>
            </x14:dxf>
          </x14:cfRule>
          <xm:sqref>EN8</xm:sqref>
        </x14:conditionalFormatting>
        <x14:conditionalFormatting xmlns:xm="http://schemas.microsoft.com/office/excel/2006/main">
          <x14:cfRule type="expression" priority="594" stopIfTrue="1" id="{423D910E-5106-45B1-B96E-38398F2E9337}">
            <xm:f>(60 * HOUR(EN8) + MINUTE(EN8)) &gt;(60 * HOUR(INDEX('1.Locations'!G2:G21,EI8 + 1)) +MINUTE(INDEX('1.Locations'!G2:G21,EI8 + 1)))</xm:f>
            <x14:dxf>
              <fill>
                <patternFill>
                  <bgColor indexed="52"/>
                </patternFill>
              </fill>
            </x14:dxf>
          </x14:cfRule>
          <xm:sqref>EN8</xm:sqref>
        </x14:conditionalFormatting>
        <x14:conditionalFormatting xmlns:xm="http://schemas.microsoft.com/office/excel/2006/main">
          <x14:cfRule type="expression" priority="595" stopIfTrue="1" id="{52FE8E0C-61C4-478B-A2AC-7AE5C3C577D1}">
            <xm:f>(60 * HOUR(EO8) + MINUTE(EO8)) &gt;(60 * HOUR(INDEX('1.Locations'!G2:G21,EI8 + 1)) +MINUTE(INDEX('1.Locations'!G2:G21,EI8 + 1)))</xm:f>
            <x14:dxf>
              <fill>
                <patternFill>
                  <bgColor indexed="52"/>
                </patternFill>
              </fill>
            </x14:dxf>
          </x14:cfRule>
          <xm:sqref>EO8</xm:sqref>
        </x14:conditionalFormatting>
        <x14:conditionalFormatting xmlns:xm="http://schemas.microsoft.com/office/excel/2006/main">
          <x14:cfRule type="cellIs" priority="596" stopIfTrue="1" operator="lessThan" id="{9F20571A-38DE-4019-A7CB-EB6C7BA4BA36}">
            <xm:f>INDEX('1.Locations'!F2:F21,EI9 + 1)</xm:f>
            <x14:dxf>
              <fill>
                <patternFill>
                  <bgColor indexed="52"/>
                </patternFill>
              </fill>
            </x14:dxf>
          </x14:cfRule>
          <xm:sqref>EN9</xm:sqref>
        </x14:conditionalFormatting>
        <x14:conditionalFormatting xmlns:xm="http://schemas.microsoft.com/office/excel/2006/main">
          <x14:cfRule type="expression" priority="597" stopIfTrue="1" id="{0F809959-0E95-47A8-B5B2-D69D6D456C13}">
            <xm:f>(60 * HOUR(EN9) + MINUTE(EN9)) &gt;(60 * HOUR(INDEX('1.Locations'!G2:G21,EI9 + 1)) +MINUTE(INDEX('1.Locations'!G2:G21,EI9 + 1)))</xm:f>
            <x14:dxf>
              <fill>
                <patternFill>
                  <bgColor indexed="52"/>
                </patternFill>
              </fill>
            </x14:dxf>
          </x14:cfRule>
          <xm:sqref>EN9</xm:sqref>
        </x14:conditionalFormatting>
        <x14:conditionalFormatting xmlns:xm="http://schemas.microsoft.com/office/excel/2006/main">
          <x14:cfRule type="expression" priority="598" stopIfTrue="1" id="{3B17AB07-8FDA-4CB2-B74F-4B2894640E5A}">
            <xm:f>(60 * HOUR(EO9) + MINUTE(EO9)) &gt;(60 * HOUR(INDEX('1.Locations'!G2:G21,EI9 + 1)) +MINUTE(INDEX('1.Locations'!G2:G21,EI9 + 1)))</xm:f>
            <x14:dxf>
              <fill>
                <patternFill>
                  <bgColor indexed="52"/>
                </patternFill>
              </fill>
            </x14:dxf>
          </x14:cfRule>
          <xm:sqref>EO9</xm:sqref>
        </x14:conditionalFormatting>
        <x14:conditionalFormatting xmlns:xm="http://schemas.microsoft.com/office/excel/2006/main">
          <x14:cfRule type="cellIs" priority="599" stopIfTrue="1" operator="lessThan" id="{2E9F91C3-41FD-40C9-9B15-5A732E481457}">
            <xm:f>INDEX('1.Locations'!F2:F21,EI10 + 1)</xm:f>
            <x14:dxf>
              <fill>
                <patternFill>
                  <bgColor indexed="52"/>
                </patternFill>
              </fill>
            </x14:dxf>
          </x14:cfRule>
          <xm:sqref>EN10</xm:sqref>
        </x14:conditionalFormatting>
        <x14:conditionalFormatting xmlns:xm="http://schemas.microsoft.com/office/excel/2006/main">
          <x14:cfRule type="expression" priority="600" stopIfTrue="1" id="{43A1C964-BF7D-477A-A77C-2C4337DD3AE9}">
            <xm:f>(60 * HOUR(EN10) + MINUTE(EN10)) &gt;(60 * HOUR(INDEX('1.Locations'!G2:G21,EI10 + 1)) +MINUTE(INDEX('1.Locations'!G2:G21,EI10 + 1)))</xm:f>
            <x14:dxf>
              <fill>
                <patternFill>
                  <bgColor indexed="52"/>
                </patternFill>
              </fill>
            </x14:dxf>
          </x14:cfRule>
          <xm:sqref>EN10</xm:sqref>
        </x14:conditionalFormatting>
        <x14:conditionalFormatting xmlns:xm="http://schemas.microsoft.com/office/excel/2006/main">
          <x14:cfRule type="expression" priority="601" stopIfTrue="1" id="{C1E4C834-4976-450D-8D70-9EB2C23900DF}">
            <xm:f>(60 * HOUR(EO10) + MINUTE(EO10)) &gt;(60 * HOUR(INDEX('1.Locations'!G2:G21,EI10 + 1)) +MINUTE(INDEX('1.Locations'!G2:G21,EI10 + 1)))</xm:f>
            <x14:dxf>
              <fill>
                <patternFill>
                  <bgColor indexed="52"/>
                </patternFill>
              </fill>
            </x14:dxf>
          </x14:cfRule>
          <xm:sqref>EO10</xm:sqref>
        </x14:conditionalFormatting>
        <x14:conditionalFormatting xmlns:xm="http://schemas.microsoft.com/office/excel/2006/main">
          <x14:cfRule type="cellIs" priority="602" stopIfTrue="1" operator="lessThan" id="{9E1428A1-B80A-445E-9CF8-C1AB77BCEC5E}">
            <xm:f>INDEX('1.Locations'!F2:F21,EI11 + 1)</xm:f>
            <x14:dxf>
              <fill>
                <patternFill>
                  <bgColor indexed="52"/>
                </patternFill>
              </fill>
            </x14:dxf>
          </x14:cfRule>
          <xm:sqref>EN11</xm:sqref>
        </x14:conditionalFormatting>
        <x14:conditionalFormatting xmlns:xm="http://schemas.microsoft.com/office/excel/2006/main">
          <x14:cfRule type="expression" priority="603" stopIfTrue="1" id="{F938D058-6698-45DD-87F5-0317592F28BA}">
            <xm:f>(60 * HOUR(EN11) + MINUTE(EN11)) &gt;(60 * HOUR(INDEX('1.Locations'!G2:G21,EI11 + 1)) +MINUTE(INDEX('1.Locations'!G2:G21,EI11 + 1)))</xm:f>
            <x14:dxf>
              <fill>
                <patternFill>
                  <bgColor indexed="52"/>
                </patternFill>
              </fill>
            </x14:dxf>
          </x14:cfRule>
          <xm:sqref>EN11</xm:sqref>
        </x14:conditionalFormatting>
        <x14:conditionalFormatting xmlns:xm="http://schemas.microsoft.com/office/excel/2006/main">
          <x14:cfRule type="expression" priority="604" stopIfTrue="1" id="{66721738-2A5E-4F79-8CF0-C87FDFB6D5D5}">
            <xm:f>(60 * HOUR(EO11) + MINUTE(EO11)) &gt;(60 * HOUR(INDEX('1.Locations'!G2:G21,EI11 + 1)) +MINUTE(INDEX('1.Locations'!G2:G21,EI11 + 1)))</xm:f>
            <x14:dxf>
              <fill>
                <patternFill>
                  <bgColor indexed="52"/>
                </patternFill>
              </fill>
            </x14:dxf>
          </x14:cfRule>
          <xm:sqref>EO11</xm:sqref>
        </x14:conditionalFormatting>
        <x14:conditionalFormatting xmlns:xm="http://schemas.microsoft.com/office/excel/2006/main">
          <x14:cfRule type="cellIs" priority="605" stopIfTrue="1" operator="lessThan" id="{128A89A6-35D7-437B-ABD7-45D72FF4E8F4}">
            <xm:f>INDEX('1.Locations'!F2:F21,EI12 + 1)</xm:f>
            <x14:dxf>
              <fill>
                <patternFill>
                  <bgColor indexed="52"/>
                </patternFill>
              </fill>
            </x14:dxf>
          </x14:cfRule>
          <xm:sqref>EN12</xm:sqref>
        </x14:conditionalFormatting>
        <x14:conditionalFormatting xmlns:xm="http://schemas.microsoft.com/office/excel/2006/main">
          <x14:cfRule type="expression" priority="606" stopIfTrue="1" id="{EA84C349-814F-4AA2-BC9D-984AB86A4753}">
            <xm:f>(60 * HOUR(EN12) + MINUTE(EN12)) &gt;(60 * HOUR(INDEX('1.Locations'!G2:G21,EI12 + 1)) +MINUTE(INDEX('1.Locations'!G2:G21,EI12 + 1)))</xm:f>
            <x14:dxf>
              <fill>
                <patternFill>
                  <bgColor indexed="52"/>
                </patternFill>
              </fill>
            </x14:dxf>
          </x14:cfRule>
          <xm:sqref>EN12</xm:sqref>
        </x14:conditionalFormatting>
        <x14:conditionalFormatting xmlns:xm="http://schemas.microsoft.com/office/excel/2006/main">
          <x14:cfRule type="expression" priority="607" stopIfTrue="1" id="{11444BB6-B5CC-42B6-88BD-18AEF531CCF7}">
            <xm:f>(60 * HOUR(EO12) + MINUTE(EO12)) &gt;(60 * HOUR(INDEX('1.Locations'!G2:G21,EI12 + 1)) +MINUTE(INDEX('1.Locations'!G2:G21,EI12 + 1)))</xm:f>
            <x14:dxf>
              <fill>
                <patternFill>
                  <bgColor indexed="52"/>
                </patternFill>
              </fill>
            </x14:dxf>
          </x14:cfRule>
          <xm:sqref>EO12</xm:sqref>
        </x14:conditionalFormatting>
        <x14:conditionalFormatting xmlns:xm="http://schemas.microsoft.com/office/excel/2006/main">
          <x14:cfRule type="cellIs" priority="608" stopIfTrue="1" operator="lessThan" id="{62DA94C6-DB4E-404D-BC24-2461EE4F0099}">
            <xm:f>INDEX('1.Locations'!F2:F21,EI13 + 1)</xm:f>
            <x14:dxf>
              <fill>
                <patternFill>
                  <bgColor indexed="52"/>
                </patternFill>
              </fill>
            </x14:dxf>
          </x14:cfRule>
          <xm:sqref>EN13</xm:sqref>
        </x14:conditionalFormatting>
        <x14:conditionalFormatting xmlns:xm="http://schemas.microsoft.com/office/excel/2006/main">
          <x14:cfRule type="expression" priority="609" stopIfTrue="1" id="{AF5390C4-EF23-49F8-B5FF-E73F755B0B21}">
            <xm:f>(60 * HOUR(EN13) + MINUTE(EN13)) &gt;(60 * HOUR(INDEX('1.Locations'!G2:G21,EI13 + 1)) +MINUTE(INDEX('1.Locations'!G2:G21,EI13 + 1)))</xm:f>
            <x14:dxf>
              <fill>
                <patternFill>
                  <bgColor indexed="52"/>
                </patternFill>
              </fill>
            </x14:dxf>
          </x14:cfRule>
          <xm:sqref>EN13</xm:sqref>
        </x14:conditionalFormatting>
        <x14:conditionalFormatting xmlns:xm="http://schemas.microsoft.com/office/excel/2006/main">
          <x14:cfRule type="expression" priority="610" stopIfTrue="1" id="{3AB37E5E-5A23-4469-97D1-AB0CBA61FA69}">
            <xm:f>(60 * HOUR(EO13) + MINUTE(EO13)) &gt;(60 * HOUR(INDEX('1.Locations'!G2:G21,EI13 + 1)) +MINUTE(INDEX('1.Locations'!G2:G21,EI13 + 1)))</xm:f>
            <x14:dxf>
              <fill>
                <patternFill>
                  <bgColor indexed="52"/>
                </patternFill>
              </fill>
            </x14:dxf>
          </x14:cfRule>
          <xm:sqref>EO13</xm:sqref>
        </x14:conditionalFormatting>
        <x14:conditionalFormatting xmlns:xm="http://schemas.microsoft.com/office/excel/2006/main">
          <x14:cfRule type="cellIs" priority="611" stopIfTrue="1" operator="lessThan" id="{E7083D57-6CA4-4AF4-B173-38E42CAFEF99}">
            <xm:f>INDEX('1.Locations'!F2:F21,EI14 + 1)</xm:f>
            <x14:dxf>
              <fill>
                <patternFill>
                  <bgColor indexed="52"/>
                </patternFill>
              </fill>
            </x14:dxf>
          </x14:cfRule>
          <xm:sqref>EN14</xm:sqref>
        </x14:conditionalFormatting>
        <x14:conditionalFormatting xmlns:xm="http://schemas.microsoft.com/office/excel/2006/main">
          <x14:cfRule type="expression" priority="612" stopIfTrue="1" id="{AF9B5F5F-7B7C-4B28-B93F-E329D8982368}">
            <xm:f>(60 * HOUR(EN14) + MINUTE(EN14)) &gt;(60 * HOUR(INDEX('1.Locations'!G2:G21,EI14 + 1)) +MINUTE(INDEX('1.Locations'!G2:G21,EI14 + 1)))</xm:f>
            <x14:dxf>
              <fill>
                <patternFill>
                  <bgColor indexed="52"/>
                </patternFill>
              </fill>
            </x14:dxf>
          </x14:cfRule>
          <xm:sqref>EN14</xm:sqref>
        </x14:conditionalFormatting>
        <x14:conditionalFormatting xmlns:xm="http://schemas.microsoft.com/office/excel/2006/main">
          <x14:cfRule type="expression" priority="613" stopIfTrue="1" id="{79A19705-BBD6-40B8-8319-E036D9ABC985}">
            <xm:f>(60 * HOUR(EO14) + MINUTE(EO14)) &gt;(60 * HOUR(INDEX('1.Locations'!G2:G21,EI14 + 1)) +MINUTE(INDEX('1.Locations'!G2:G21,EI14 + 1)))</xm:f>
            <x14:dxf>
              <fill>
                <patternFill>
                  <bgColor indexed="52"/>
                </patternFill>
              </fill>
            </x14:dxf>
          </x14:cfRule>
          <xm:sqref>EO14</xm:sqref>
        </x14:conditionalFormatting>
        <x14:conditionalFormatting xmlns:xm="http://schemas.microsoft.com/office/excel/2006/main">
          <x14:cfRule type="cellIs" priority="614" stopIfTrue="1" operator="lessThan" id="{E595D19B-84F8-4853-B61C-32A33C512724}">
            <xm:f>INDEX('1.Locations'!F2:F21,EI15 + 1)</xm:f>
            <x14:dxf>
              <fill>
                <patternFill>
                  <bgColor indexed="52"/>
                </patternFill>
              </fill>
            </x14:dxf>
          </x14:cfRule>
          <xm:sqref>EN15</xm:sqref>
        </x14:conditionalFormatting>
        <x14:conditionalFormatting xmlns:xm="http://schemas.microsoft.com/office/excel/2006/main">
          <x14:cfRule type="expression" priority="615" stopIfTrue="1" id="{9AD8E1A0-5242-472E-B853-8CE51C3E10E2}">
            <xm:f>(60 * HOUR(EN15) + MINUTE(EN15)) &gt;(60 * HOUR(INDEX('1.Locations'!G2:G21,EI15 + 1)) +MINUTE(INDEX('1.Locations'!G2:G21,EI15 + 1)))</xm:f>
            <x14:dxf>
              <fill>
                <patternFill>
                  <bgColor indexed="52"/>
                </patternFill>
              </fill>
            </x14:dxf>
          </x14:cfRule>
          <xm:sqref>EN15</xm:sqref>
        </x14:conditionalFormatting>
        <x14:conditionalFormatting xmlns:xm="http://schemas.microsoft.com/office/excel/2006/main">
          <x14:cfRule type="expression" priority="616" stopIfTrue="1" id="{C3ABE033-8E78-4908-9B1A-91204979E525}">
            <xm:f>(60 * HOUR(EO15) + MINUTE(EO15)) &gt;(60 * HOUR(INDEX('1.Locations'!G2:G21,EI15 + 1)) +MINUTE(INDEX('1.Locations'!G2:G21,EI15 + 1)))</xm:f>
            <x14:dxf>
              <fill>
                <patternFill>
                  <bgColor indexed="52"/>
                </patternFill>
              </fill>
            </x14:dxf>
          </x14:cfRule>
          <xm:sqref>EO15</xm:sqref>
        </x14:conditionalFormatting>
        <x14:conditionalFormatting xmlns:xm="http://schemas.microsoft.com/office/excel/2006/main">
          <x14:cfRule type="cellIs" priority="617" stopIfTrue="1" operator="lessThan" id="{5BD1078E-36B1-48A9-B57A-804C8819CD6D}">
            <xm:f>INDEX('1.Locations'!F2:F21,EI16 + 1)</xm:f>
            <x14:dxf>
              <fill>
                <patternFill>
                  <bgColor indexed="52"/>
                </patternFill>
              </fill>
            </x14:dxf>
          </x14:cfRule>
          <xm:sqref>EN16</xm:sqref>
        </x14:conditionalFormatting>
        <x14:conditionalFormatting xmlns:xm="http://schemas.microsoft.com/office/excel/2006/main">
          <x14:cfRule type="expression" priority="618" stopIfTrue="1" id="{533818D8-7511-4553-ADFF-03D1649C601B}">
            <xm:f>(60 * HOUR(EN16) + MINUTE(EN16)) &gt;(60 * HOUR(INDEX('1.Locations'!G2:G21,EI16 + 1)) +MINUTE(INDEX('1.Locations'!G2:G21,EI16 + 1)))</xm:f>
            <x14:dxf>
              <fill>
                <patternFill>
                  <bgColor indexed="52"/>
                </patternFill>
              </fill>
            </x14:dxf>
          </x14:cfRule>
          <xm:sqref>EN16</xm:sqref>
        </x14:conditionalFormatting>
        <x14:conditionalFormatting xmlns:xm="http://schemas.microsoft.com/office/excel/2006/main">
          <x14:cfRule type="expression" priority="619" stopIfTrue="1" id="{36CF25E6-DAE7-4A3C-8944-98B4C3EA56FF}">
            <xm:f>(60 * HOUR(EO16) + MINUTE(EO16)) &gt;(60 * HOUR(INDEX('1.Locations'!G2:G21,EI16 + 1)) +MINUTE(INDEX('1.Locations'!G2:G21,EI16 + 1)))</xm:f>
            <x14:dxf>
              <fill>
                <patternFill>
                  <bgColor indexed="52"/>
                </patternFill>
              </fill>
            </x14:dxf>
          </x14:cfRule>
          <xm:sqref>EO16</xm:sqref>
        </x14:conditionalFormatting>
        <x14:conditionalFormatting xmlns:xm="http://schemas.microsoft.com/office/excel/2006/main">
          <x14:cfRule type="cellIs" priority="620" stopIfTrue="1" operator="lessThan" id="{DEB0ADF4-606C-42E6-A0CA-1F85357B7F0F}">
            <xm:f>INDEX('1.Locations'!F2:F21,EI17 + 1)</xm:f>
            <x14:dxf>
              <fill>
                <patternFill>
                  <bgColor indexed="52"/>
                </patternFill>
              </fill>
            </x14:dxf>
          </x14:cfRule>
          <xm:sqref>EN17</xm:sqref>
        </x14:conditionalFormatting>
        <x14:conditionalFormatting xmlns:xm="http://schemas.microsoft.com/office/excel/2006/main">
          <x14:cfRule type="expression" priority="621" stopIfTrue="1" id="{99E4C1BC-A89C-4968-9624-BC3C29B4AB6B}">
            <xm:f>(60 * HOUR(EN17) + MINUTE(EN17)) &gt;(60 * HOUR(INDEX('1.Locations'!G2:G21,EI17 + 1)) +MINUTE(INDEX('1.Locations'!G2:G21,EI17 + 1)))</xm:f>
            <x14:dxf>
              <fill>
                <patternFill>
                  <bgColor indexed="52"/>
                </patternFill>
              </fill>
            </x14:dxf>
          </x14:cfRule>
          <xm:sqref>EN17</xm:sqref>
        </x14:conditionalFormatting>
        <x14:conditionalFormatting xmlns:xm="http://schemas.microsoft.com/office/excel/2006/main">
          <x14:cfRule type="expression" priority="622" stopIfTrue="1" id="{25829D26-0559-491A-A478-1EE5FD6D1BA4}">
            <xm:f>(60 * HOUR(EO17) + MINUTE(EO17)) &gt;(60 * HOUR(INDEX('1.Locations'!G2:G21,EI17 + 1)) +MINUTE(INDEX('1.Locations'!G2:G21,EI17 + 1)))</xm:f>
            <x14:dxf>
              <fill>
                <patternFill>
                  <bgColor indexed="52"/>
                </patternFill>
              </fill>
            </x14:dxf>
          </x14:cfRule>
          <xm:sqref>EO17</xm:sqref>
        </x14:conditionalFormatting>
        <x14:conditionalFormatting xmlns:xm="http://schemas.microsoft.com/office/excel/2006/main">
          <x14:cfRule type="cellIs" priority="623" stopIfTrue="1" operator="lessThan" id="{449AD269-1467-472F-A629-2360BDEAB68F}">
            <xm:f>INDEX('1.Locations'!F2:F21,EI18 + 1)</xm:f>
            <x14:dxf>
              <fill>
                <patternFill>
                  <bgColor indexed="52"/>
                </patternFill>
              </fill>
            </x14:dxf>
          </x14:cfRule>
          <xm:sqref>EN18</xm:sqref>
        </x14:conditionalFormatting>
        <x14:conditionalFormatting xmlns:xm="http://schemas.microsoft.com/office/excel/2006/main">
          <x14:cfRule type="expression" priority="624" stopIfTrue="1" id="{B1B915FC-8FDD-4C38-A492-073121700EB9}">
            <xm:f>(60 * HOUR(EN18) + MINUTE(EN18)) &gt;(60 * HOUR(INDEX('1.Locations'!G2:G21,EI18 + 1)) +MINUTE(INDEX('1.Locations'!G2:G21,EI18 + 1)))</xm:f>
            <x14:dxf>
              <fill>
                <patternFill>
                  <bgColor indexed="52"/>
                </patternFill>
              </fill>
            </x14:dxf>
          </x14:cfRule>
          <xm:sqref>EN18</xm:sqref>
        </x14:conditionalFormatting>
        <x14:conditionalFormatting xmlns:xm="http://schemas.microsoft.com/office/excel/2006/main">
          <x14:cfRule type="expression" priority="625" stopIfTrue="1" id="{5D82CAB5-1FC9-4BC2-9AFF-170D44B2935B}">
            <xm:f>(60 * HOUR(EO18) + MINUTE(EO18)) &gt;(60 * HOUR(INDEX('1.Locations'!G2:G21,EI18 + 1)) +MINUTE(INDEX('1.Locations'!G2:G21,EI18 + 1)))</xm:f>
            <x14:dxf>
              <fill>
                <patternFill>
                  <bgColor indexed="52"/>
                </patternFill>
              </fill>
            </x14:dxf>
          </x14:cfRule>
          <xm:sqref>EO18</xm:sqref>
        </x14:conditionalFormatting>
        <x14:conditionalFormatting xmlns:xm="http://schemas.microsoft.com/office/excel/2006/main">
          <x14:cfRule type="cellIs" priority="626" stopIfTrue="1" operator="lessThan" id="{E00B6929-CD27-43AA-BD39-A6D7F17DE096}">
            <xm:f>INDEX('1.Locations'!F2:F21,EI19 + 1)</xm:f>
            <x14:dxf>
              <fill>
                <patternFill>
                  <bgColor indexed="52"/>
                </patternFill>
              </fill>
            </x14:dxf>
          </x14:cfRule>
          <xm:sqref>EN19</xm:sqref>
        </x14:conditionalFormatting>
        <x14:conditionalFormatting xmlns:xm="http://schemas.microsoft.com/office/excel/2006/main">
          <x14:cfRule type="expression" priority="627" stopIfTrue="1" id="{1DFBBBC3-98E0-46BE-9310-1E4CB8C594E2}">
            <xm:f>(60 * HOUR(EN19) + MINUTE(EN19)) &gt;(60 * HOUR(INDEX('1.Locations'!G2:G21,EI19 + 1)) +MINUTE(INDEX('1.Locations'!G2:G21,EI19 + 1)))</xm:f>
            <x14:dxf>
              <fill>
                <patternFill>
                  <bgColor indexed="52"/>
                </patternFill>
              </fill>
            </x14:dxf>
          </x14:cfRule>
          <xm:sqref>EN19</xm:sqref>
        </x14:conditionalFormatting>
        <x14:conditionalFormatting xmlns:xm="http://schemas.microsoft.com/office/excel/2006/main">
          <x14:cfRule type="expression" priority="628" stopIfTrue="1" id="{A38EBE30-AAC6-4D56-B751-1141C8AAADEB}">
            <xm:f>(60 * HOUR(EO19) + MINUTE(EO19)) &gt;(60 * HOUR(INDEX('1.Locations'!G2:G21,EI19 + 1)) +MINUTE(INDEX('1.Locations'!G2:G21,EI19 + 1)))</xm:f>
            <x14:dxf>
              <fill>
                <patternFill>
                  <bgColor indexed="52"/>
                </patternFill>
              </fill>
            </x14:dxf>
          </x14:cfRule>
          <xm:sqref>EO19</xm:sqref>
        </x14:conditionalFormatting>
        <x14:conditionalFormatting xmlns:xm="http://schemas.microsoft.com/office/excel/2006/main">
          <x14:cfRule type="cellIs" priority="629" stopIfTrue="1" operator="lessThan" id="{D2D6A320-E6D1-45A8-9C77-9179841B4AF2}">
            <xm:f>INDEX('1.Locations'!F2:F21,EI20 + 1)</xm:f>
            <x14:dxf>
              <fill>
                <patternFill>
                  <bgColor indexed="52"/>
                </patternFill>
              </fill>
            </x14:dxf>
          </x14:cfRule>
          <xm:sqref>EN20</xm:sqref>
        </x14:conditionalFormatting>
        <x14:conditionalFormatting xmlns:xm="http://schemas.microsoft.com/office/excel/2006/main">
          <x14:cfRule type="expression" priority="630" stopIfTrue="1" id="{7F203994-45A4-4C9B-B0D1-EA0C46CA4A44}">
            <xm:f>(60 * HOUR(EN20) + MINUTE(EN20)) &gt;(60 * HOUR(INDEX('1.Locations'!G2:G21,EI20 + 1)) +MINUTE(INDEX('1.Locations'!G2:G21,EI20 + 1)))</xm:f>
            <x14:dxf>
              <fill>
                <patternFill>
                  <bgColor indexed="52"/>
                </patternFill>
              </fill>
            </x14:dxf>
          </x14:cfRule>
          <xm:sqref>EN20</xm:sqref>
        </x14:conditionalFormatting>
        <x14:conditionalFormatting xmlns:xm="http://schemas.microsoft.com/office/excel/2006/main">
          <x14:cfRule type="expression" priority="631" stopIfTrue="1" id="{5FDA7D2D-8590-4970-8E90-D3FBAE75A9D3}">
            <xm:f>(60 * HOUR(EO20) + MINUTE(EO20)) &gt;(60 * HOUR(INDEX('1.Locations'!G2:G21,EI20 + 1)) +MINUTE(INDEX('1.Locations'!G2:G21,EI20 + 1)))</xm:f>
            <x14:dxf>
              <fill>
                <patternFill>
                  <bgColor indexed="52"/>
                </patternFill>
              </fill>
            </x14:dxf>
          </x14:cfRule>
          <xm:sqref>EO20</xm:sqref>
        </x14:conditionalFormatting>
        <x14:conditionalFormatting xmlns:xm="http://schemas.microsoft.com/office/excel/2006/main">
          <x14:cfRule type="cellIs" priority="632" stopIfTrue="1" operator="lessThan" id="{C63BB250-42F0-4D7A-B242-8579C818B4D1}">
            <xm:f>INDEX('1.Locations'!F2:F21,EI21 + 1)</xm:f>
            <x14:dxf>
              <fill>
                <patternFill>
                  <bgColor indexed="52"/>
                </patternFill>
              </fill>
            </x14:dxf>
          </x14:cfRule>
          <xm:sqref>EN21</xm:sqref>
        </x14:conditionalFormatting>
        <x14:conditionalFormatting xmlns:xm="http://schemas.microsoft.com/office/excel/2006/main">
          <x14:cfRule type="expression" priority="633" stopIfTrue="1" id="{347DE10F-A463-463B-9391-0C394627DE30}">
            <xm:f>(60 * HOUR(EN21) + MINUTE(EN21)) &gt;(60 * HOUR(INDEX('1.Locations'!G2:G21,EI21 + 1)) +MINUTE(INDEX('1.Locations'!G2:G21,EI21 + 1)))</xm:f>
            <x14:dxf>
              <fill>
                <patternFill>
                  <bgColor indexed="52"/>
                </patternFill>
              </fill>
            </x14:dxf>
          </x14:cfRule>
          <xm:sqref>EN21</xm:sqref>
        </x14:conditionalFormatting>
        <x14:conditionalFormatting xmlns:xm="http://schemas.microsoft.com/office/excel/2006/main">
          <x14:cfRule type="expression" priority="634" stopIfTrue="1" id="{8CC244FD-22E4-4665-8858-1E79DDDF8674}">
            <xm:f>(60 * HOUR(EO21) + MINUTE(EO21)) &gt;(60 * HOUR(INDEX('1.Locations'!G2:G21,EI21 + 1)) +MINUTE(INDEX('1.Locations'!G2:G21,EI21 + 1)))</xm:f>
            <x14:dxf>
              <fill>
                <patternFill>
                  <bgColor indexed="52"/>
                </patternFill>
              </fill>
            </x14:dxf>
          </x14:cfRule>
          <xm:sqref>EO21</xm:sqref>
        </x14:conditionalFormatting>
        <x14:conditionalFormatting xmlns:xm="http://schemas.microsoft.com/office/excel/2006/main">
          <x14:cfRule type="cellIs" priority="635" stopIfTrue="1" operator="lessThan" id="{621402AA-D0BF-4469-902D-6649AED9AAD9}">
            <xm:f>INDEX('1.Locations'!F2:F21,EI22 + 1)</xm:f>
            <x14:dxf>
              <fill>
                <patternFill>
                  <bgColor indexed="52"/>
                </patternFill>
              </fill>
            </x14:dxf>
          </x14:cfRule>
          <xm:sqref>EN22</xm:sqref>
        </x14:conditionalFormatting>
        <x14:conditionalFormatting xmlns:xm="http://schemas.microsoft.com/office/excel/2006/main">
          <x14:cfRule type="expression" priority="636" stopIfTrue="1" id="{AD192C8B-3DAA-4639-8BDA-E99ACA961E4B}">
            <xm:f>(60 * HOUR(EN22) + MINUTE(EN22)) &gt;(60 * HOUR(INDEX('1.Locations'!G2:G21,EI22 + 1)) +MINUTE(INDEX('1.Locations'!G2:G21,EI22 + 1)))</xm:f>
            <x14:dxf>
              <fill>
                <patternFill>
                  <bgColor indexed="52"/>
                </patternFill>
              </fill>
            </x14:dxf>
          </x14:cfRule>
          <xm:sqref>EN22</xm:sqref>
        </x14:conditionalFormatting>
        <x14:conditionalFormatting xmlns:xm="http://schemas.microsoft.com/office/excel/2006/main">
          <x14:cfRule type="expression" priority="637" stopIfTrue="1" id="{6DD26E0D-664E-4D3B-AC6A-EB576223C80E}">
            <xm:f>(60 * HOUR(EO22) + MINUTE(EO22)) &gt;(60 * HOUR(INDEX('1.Locations'!G2:G21,EI22 + 1)) +MINUTE(INDEX('1.Locations'!G2:G21,EI22 + 1)))</xm:f>
            <x14:dxf>
              <fill>
                <patternFill>
                  <bgColor indexed="52"/>
                </patternFill>
              </fill>
            </x14:dxf>
          </x14:cfRule>
          <xm:sqref>EO22</xm:sqref>
        </x14:conditionalFormatting>
        <x14:conditionalFormatting xmlns:xm="http://schemas.microsoft.com/office/excel/2006/main">
          <x14:cfRule type="cellIs" priority="638" stopIfTrue="1" operator="lessThan" id="{83981A69-50C1-46FF-A9FA-21734171F27F}">
            <xm:f>INDEX('1.Locations'!F2:F21,EI23 + 1)</xm:f>
            <x14:dxf>
              <fill>
                <patternFill>
                  <bgColor indexed="52"/>
                </patternFill>
              </fill>
            </x14:dxf>
          </x14:cfRule>
          <xm:sqref>EN23</xm:sqref>
        </x14:conditionalFormatting>
        <x14:conditionalFormatting xmlns:xm="http://schemas.microsoft.com/office/excel/2006/main">
          <x14:cfRule type="expression" priority="639" stopIfTrue="1" id="{ED329855-8A27-4C20-B259-22587048291A}">
            <xm:f>(60 * HOUR(EN23) + MINUTE(EN23)) &gt;(60 * HOUR(INDEX('1.Locations'!G2:G21,EI23 + 1)) +MINUTE(INDEX('1.Locations'!G2:G21,EI23 + 1)))</xm:f>
            <x14:dxf>
              <fill>
                <patternFill>
                  <bgColor indexed="52"/>
                </patternFill>
              </fill>
            </x14:dxf>
          </x14:cfRule>
          <xm:sqref>EN23</xm:sqref>
        </x14:conditionalFormatting>
        <x14:conditionalFormatting xmlns:xm="http://schemas.microsoft.com/office/excel/2006/main">
          <x14:cfRule type="expression" priority="640" stopIfTrue="1" id="{CB4EB5EA-8D20-449C-A18B-3CD5AA0C18A9}">
            <xm:f>(60 * HOUR(EO23) + MINUTE(EO23)) &gt;(60 * HOUR(INDEX('1.Locations'!G2:G21,EI23 + 1)) +MINUTE(INDEX('1.Locations'!G2:G21,EI23 + 1)))</xm:f>
            <x14:dxf>
              <fill>
                <patternFill>
                  <bgColor indexed="52"/>
                </patternFill>
              </fill>
            </x14:dxf>
          </x14:cfRule>
          <xm:sqref>EO23</xm:sqref>
        </x14:conditionalFormatting>
        <x14:conditionalFormatting xmlns:xm="http://schemas.microsoft.com/office/excel/2006/main">
          <x14:cfRule type="cellIs" priority="641" stopIfTrue="1" operator="lessThan" id="{0F5514A6-5BAA-4F6B-857E-5A3D1C3B3451}">
            <xm:f>INDEX('1.Locations'!F2:F21,EI24 + 1)</xm:f>
            <x14:dxf>
              <fill>
                <patternFill>
                  <bgColor indexed="52"/>
                </patternFill>
              </fill>
            </x14:dxf>
          </x14:cfRule>
          <xm:sqref>EN24</xm:sqref>
        </x14:conditionalFormatting>
        <x14:conditionalFormatting xmlns:xm="http://schemas.microsoft.com/office/excel/2006/main">
          <x14:cfRule type="expression" priority="642" stopIfTrue="1" id="{53D94B27-E25E-488D-BEA0-5F1DBAF8A40D}">
            <xm:f>(60 * HOUR(EN24) + MINUTE(EN24)) &gt;(60 * HOUR(INDEX('1.Locations'!G2:G21,EI24 + 1)) +MINUTE(INDEX('1.Locations'!G2:G21,EI24 + 1)))</xm:f>
            <x14:dxf>
              <fill>
                <patternFill>
                  <bgColor indexed="52"/>
                </patternFill>
              </fill>
            </x14:dxf>
          </x14:cfRule>
          <xm:sqref>EN24</xm:sqref>
        </x14:conditionalFormatting>
        <x14:conditionalFormatting xmlns:xm="http://schemas.microsoft.com/office/excel/2006/main">
          <x14:cfRule type="expression" priority="643" stopIfTrue="1" id="{36DACD21-6FE1-4415-8089-0838A6126B89}">
            <xm:f>(60 * HOUR(EO24) + MINUTE(EO24)) &gt;(60 * HOUR(INDEX('1.Locations'!G2:G21,EI24 + 1)) +MINUTE(INDEX('1.Locations'!G2:G21,EI24 + 1)))</xm:f>
            <x14:dxf>
              <fill>
                <patternFill>
                  <bgColor indexed="52"/>
                </patternFill>
              </fill>
            </x14:dxf>
          </x14:cfRule>
          <xm:sqref>EO24</xm:sqref>
        </x14:conditionalFormatting>
        <x14:conditionalFormatting xmlns:xm="http://schemas.microsoft.com/office/excel/2006/main">
          <x14:cfRule type="cellIs" priority="644" stopIfTrue="1" operator="lessThan" id="{560BB27B-2530-4349-BFE0-7F85F1445177}">
            <xm:f>INDEX('1.Locations'!F2:F21,EI25 + 1)</xm:f>
            <x14:dxf>
              <fill>
                <patternFill>
                  <bgColor indexed="52"/>
                </patternFill>
              </fill>
            </x14:dxf>
          </x14:cfRule>
          <xm:sqref>EN25</xm:sqref>
        </x14:conditionalFormatting>
        <x14:conditionalFormatting xmlns:xm="http://schemas.microsoft.com/office/excel/2006/main">
          <x14:cfRule type="expression" priority="645" stopIfTrue="1" id="{341B1ED1-35AD-4034-8BB9-D4E910B43333}">
            <xm:f>(60 * HOUR(EN25) + MINUTE(EN25)) &gt;(60 * HOUR(INDEX('1.Locations'!G2:G21,EI25 + 1)) +MINUTE(INDEX('1.Locations'!G2:G21,EI25 + 1)))</xm:f>
            <x14:dxf>
              <fill>
                <patternFill>
                  <bgColor indexed="52"/>
                </patternFill>
              </fill>
            </x14:dxf>
          </x14:cfRule>
          <xm:sqref>EN25</xm:sqref>
        </x14:conditionalFormatting>
        <x14:conditionalFormatting xmlns:xm="http://schemas.microsoft.com/office/excel/2006/main">
          <x14:cfRule type="expression" priority="646" stopIfTrue="1" id="{BFFF9FA1-2EEC-4DFD-9FAA-C60AA62A2388}">
            <xm:f>(60 * HOUR(EO25) + MINUTE(EO25)) &gt;(60 * HOUR(INDEX('1.Locations'!G2:G21,EI25 + 1)) +MINUTE(INDEX('1.Locations'!G2:G21,EI25 + 1)))</xm:f>
            <x14:dxf>
              <fill>
                <patternFill>
                  <bgColor indexed="52"/>
                </patternFill>
              </fill>
            </x14:dxf>
          </x14:cfRule>
          <xm:sqref>EO25</xm:sqref>
        </x14:conditionalFormatting>
        <x14:conditionalFormatting xmlns:xm="http://schemas.microsoft.com/office/excel/2006/main">
          <x14:cfRule type="cellIs" priority="647" stopIfTrue="1" operator="greaterThan" id="{DCD9F3DC-EFAE-4C11-B4C8-73ADBB74AD30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EL6:EL25</xm:sqref>
        </x14:conditionalFormatting>
        <x14:conditionalFormatting xmlns:xm="http://schemas.microsoft.com/office/excel/2006/main">
          <x14:cfRule type="cellIs" priority="648" stopIfTrue="1" operator="greaterThan" id="{8B2FD118-7D7D-47F2-B5C5-19B61528964B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EV6:EV25</xm:sqref>
        </x14:conditionalFormatting>
        <x14:conditionalFormatting xmlns:xm="http://schemas.microsoft.com/office/excel/2006/main">
          <x14:cfRule type="cellIs" priority="650" stopIfTrue="1" operator="greaterThan" id="{EF85A858-93BF-468D-84E5-329A3EFEDFF6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EM6:EM25</xm:sqref>
        </x14:conditionalFormatting>
        <x14:conditionalFormatting xmlns:xm="http://schemas.microsoft.com/office/excel/2006/main">
          <x14:cfRule type="cellIs" priority="651" stopIfTrue="1" operator="greaterThan" id="{9922827B-5234-40C7-94E5-11B2303792CB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EP6:EP25</xm:sqref>
        </x14:conditionalFormatting>
        <x14:conditionalFormatting xmlns:xm="http://schemas.microsoft.com/office/excel/2006/main">
          <x14:cfRule type="expression" priority="653" stopIfTrue="1" id="{F46D8339-28E1-4750-864E-886904D8FD4A}">
            <xm:f>(60 * HOUR(FE5) + MINUTE(FE5)) &gt;(60 * HOUR(INDEX('1.Locations'!G2:G21,EZ5 + 1)) +MINUTE(INDEX('1.Locations'!G2:G21,EZ5 + 1)))</xm:f>
            <x14:dxf>
              <fill>
                <patternFill>
                  <bgColor indexed="52"/>
                </patternFill>
              </fill>
            </x14:dxf>
          </x14:cfRule>
          <xm:sqref>FE5</xm:sqref>
        </x14:conditionalFormatting>
        <x14:conditionalFormatting xmlns:xm="http://schemas.microsoft.com/office/excel/2006/main">
          <x14:cfRule type="expression" priority="654" stopIfTrue="1" id="{BE888803-156E-47FB-A908-82DA0A7B6672}">
            <xm:f>(60 * HOUR(FF5) + MINUTE(FF5)) &gt;(60 * HOUR(INDEX('1.Locations'!G2:G21,EZ5 + 1)) +MINUTE(INDEX('1.Locations'!G2:G21,EZ5 + 1)))</xm:f>
            <x14:dxf>
              <fill>
                <patternFill>
                  <bgColor indexed="52"/>
                </patternFill>
              </fill>
            </x14:dxf>
          </x14:cfRule>
          <xm:sqref>FF5</xm:sqref>
        </x14:conditionalFormatting>
        <x14:conditionalFormatting xmlns:xm="http://schemas.microsoft.com/office/excel/2006/main">
          <x14:cfRule type="cellIs" priority="655" stopIfTrue="1" operator="lessThan" id="{0C82EACF-461F-446D-9411-F00702CCA74D}">
            <xm:f>INDEX('1.Locations'!F2:F21,EZ6 + 1)</xm:f>
            <x14:dxf>
              <fill>
                <patternFill>
                  <bgColor indexed="52"/>
                </patternFill>
              </fill>
            </x14:dxf>
          </x14:cfRule>
          <xm:sqref>FE6</xm:sqref>
        </x14:conditionalFormatting>
        <x14:conditionalFormatting xmlns:xm="http://schemas.microsoft.com/office/excel/2006/main">
          <x14:cfRule type="expression" priority="656" stopIfTrue="1" id="{684594F7-28FC-4AE3-94BB-FDD42AF88B1E}">
            <xm:f>(60 * HOUR(FE6) + MINUTE(FE6)) &gt;(60 * HOUR(INDEX('1.Locations'!G2:G21,EZ6 + 1)) +MINUTE(INDEX('1.Locations'!G2:G21,EZ6 + 1)))</xm:f>
            <x14:dxf>
              <fill>
                <patternFill>
                  <bgColor indexed="52"/>
                </patternFill>
              </fill>
            </x14:dxf>
          </x14:cfRule>
          <xm:sqref>FE6</xm:sqref>
        </x14:conditionalFormatting>
        <x14:conditionalFormatting xmlns:xm="http://schemas.microsoft.com/office/excel/2006/main">
          <x14:cfRule type="expression" priority="657" stopIfTrue="1" id="{4725F210-B7BB-456A-833F-79E00CF5B9A1}">
            <xm:f>(60 * HOUR(FF6) + MINUTE(FF6)) &gt;(60 * HOUR(INDEX('1.Locations'!G2:G21,EZ6 + 1)) +MINUTE(INDEX('1.Locations'!G2:G21,EZ6 + 1)))</xm:f>
            <x14:dxf>
              <fill>
                <patternFill>
                  <bgColor indexed="52"/>
                </patternFill>
              </fill>
            </x14:dxf>
          </x14:cfRule>
          <xm:sqref>FF6</xm:sqref>
        </x14:conditionalFormatting>
        <x14:conditionalFormatting xmlns:xm="http://schemas.microsoft.com/office/excel/2006/main">
          <x14:cfRule type="cellIs" priority="658" stopIfTrue="1" operator="lessThan" id="{ACDCDE6B-6885-4583-B568-38D21ED47E97}">
            <xm:f>INDEX('1.Locations'!F2:F21,EZ7 + 1)</xm:f>
            <x14:dxf>
              <fill>
                <patternFill>
                  <bgColor indexed="52"/>
                </patternFill>
              </fill>
            </x14:dxf>
          </x14:cfRule>
          <xm:sqref>FE7</xm:sqref>
        </x14:conditionalFormatting>
        <x14:conditionalFormatting xmlns:xm="http://schemas.microsoft.com/office/excel/2006/main">
          <x14:cfRule type="expression" priority="659" stopIfTrue="1" id="{8234B2CE-141B-4D8C-8676-AFCE6BBFE2C8}">
            <xm:f>(60 * HOUR(FE7) + MINUTE(FE7)) &gt;(60 * HOUR(INDEX('1.Locations'!G2:G21,EZ7 + 1)) +MINUTE(INDEX('1.Locations'!G2:G21,EZ7 + 1)))</xm:f>
            <x14:dxf>
              <fill>
                <patternFill>
                  <bgColor indexed="52"/>
                </patternFill>
              </fill>
            </x14:dxf>
          </x14:cfRule>
          <xm:sqref>FE7</xm:sqref>
        </x14:conditionalFormatting>
        <x14:conditionalFormatting xmlns:xm="http://schemas.microsoft.com/office/excel/2006/main">
          <x14:cfRule type="expression" priority="660" stopIfTrue="1" id="{6D704309-8C3D-4206-AA61-BB88A3111B2A}">
            <xm:f>(60 * HOUR(FF7) + MINUTE(FF7)) &gt;(60 * HOUR(INDEX('1.Locations'!G2:G21,EZ7 + 1)) +MINUTE(INDEX('1.Locations'!G2:G21,EZ7 + 1)))</xm:f>
            <x14:dxf>
              <fill>
                <patternFill>
                  <bgColor indexed="52"/>
                </patternFill>
              </fill>
            </x14:dxf>
          </x14:cfRule>
          <xm:sqref>FF7</xm:sqref>
        </x14:conditionalFormatting>
        <x14:conditionalFormatting xmlns:xm="http://schemas.microsoft.com/office/excel/2006/main">
          <x14:cfRule type="cellIs" priority="661" stopIfTrue="1" operator="lessThan" id="{3B0E952A-DE0B-4EA8-9690-D35B4296E49A}">
            <xm:f>INDEX('1.Locations'!F2:F21,EZ8 + 1)</xm:f>
            <x14:dxf>
              <fill>
                <patternFill>
                  <bgColor indexed="52"/>
                </patternFill>
              </fill>
            </x14:dxf>
          </x14:cfRule>
          <xm:sqref>FE8</xm:sqref>
        </x14:conditionalFormatting>
        <x14:conditionalFormatting xmlns:xm="http://schemas.microsoft.com/office/excel/2006/main">
          <x14:cfRule type="expression" priority="662" stopIfTrue="1" id="{ABB32105-E6BA-4056-B825-B25EA8FF1B28}">
            <xm:f>(60 * HOUR(FE8) + MINUTE(FE8)) &gt;(60 * HOUR(INDEX('1.Locations'!G2:G21,EZ8 + 1)) +MINUTE(INDEX('1.Locations'!G2:G21,EZ8 + 1)))</xm:f>
            <x14:dxf>
              <fill>
                <patternFill>
                  <bgColor indexed="52"/>
                </patternFill>
              </fill>
            </x14:dxf>
          </x14:cfRule>
          <xm:sqref>FE8</xm:sqref>
        </x14:conditionalFormatting>
        <x14:conditionalFormatting xmlns:xm="http://schemas.microsoft.com/office/excel/2006/main">
          <x14:cfRule type="expression" priority="663" stopIfTrue="1" id="{06AD9479-8B06-4AEB-A159-D7D92FB27721}">
            <xm:f>(60 * HOUR(FF8) + MINUTE(FF8)) &gt;(60 * HOUR(INDEX('1.Locations'!G2:G21,EZ8 + 1)) +MINUTE(INDEX('1.Locations'!G2:G21,EZ8 + 1)))</xm:f>
            <x14:dxf>
              <fill>
                <patternFill>
                  <bgColor indexed="52"/>
                </patternFill>
              </fill>
            </x14:dxf>
          </x14:cfRule>
          <xm:sqref>FF8</xm:sqref>
        </x14:conditionalFormatting>
        <x14:conditionalFormatting xmlns:xm="http://schemas.microsoft.com/office/excel/2006/main">
          <x14:cfRule type="cellIs" priority="664" stopIfTrue="1" operator="lessThan" id="{7BD54C74-590D-4894-9D5B-BC759F194C50}">
            <xm:f>INDEX('1.Locations'!F2:F21,EZ9 + 1)</xm:f>
            <x14:dxf>
              <fill>
                <patternFill>
                  <bgColor indexed="52"/>
                </patternFill>
              </fill>
            </x14:dxf>
          </x14:cfRule>
          <xm:sqref>FE9</xm:sqref>
        </x14:conditionalFormatting>
        <x14:conditionalFormatting xmlns:xm="http://schemas.microsoft.com/office/excel/2006/main">
          <x14:cfRule type="expression" priority="665" stopIfTrue="1" id="{50692382-48F7-4187-8528-03586B8F3CD3}">
            <xm:f>(60 * HOUR(FE9) + MINUTE(FE9)) &gt;(60 * HOUR(INDEX('1.Locations'!G2:G21,EZ9 + 1)) +MINUTE(INDEX('1.Locations'!G2:G21,EZ9 + 1)))</xm:f>
            <x14:dxf>
              <fill>
                <patternFill>
                  <bgColor indexed="52"/>
                </patternFill>
              </fill>
            </x14:dxf>
          </x14:cfRule>
          <xm:sqref>FE9</xm:sqref>
        </x14:conditionalFormatting>
        <x14:conditionalFormatting xmlns:xm="http://schemas.microsoft.com/office/excel/2006/main">
          <x14:cfRule type="expression" priority="666" stopIfTrue="1" id="{9748452A-0365-4112-99D6-204DBA28A66D}">
            <xm:f>(60 * HOUR(FF9) + MINUTE(FF9)) &gt;(60 * HOUR(INDEX('1.Locations'!G2:G21,EZ9 + 1)) +MINUTE(INDEX('1.Locations'!G2:G21,EZ9 + 1)))</xm:f>
            <x14:dxf>
              <fill>
                <patternFill>
                  <bgColor indexed="52"/>
                </patternFill>
              </fill>
            </x14:dxf>
          </x14:cfRule>
          <xm:sqref>FF9</xm:sqref>
        </x14:conditionalFormatting>
        <x14:conditionalFormatting xmlns:xm="http://schemas.microsoft.com/office/excel/2006/main">
          <x14:cfRule type="cellIs" priority="667" stopIfTrue="1" operator="lessThan" id="{C0DA48E3-32EE-4309-A9B7-D2BBFDC1E09F}">
            <xm:f>INDEX('1.Locations'!F2:F21,EZ10 + 1)</xm:f>
            <x14:dxf>
              <fill>
                <patternFill>
                  <bgColor indexed="52"/>
                </patternFill>
              </fill>
            </x14:dxf>
          </x14:cfRule>
          <xm:sqref>FE10</xm:sqref>
        </x14:conditionalFormatting>
        <x14:conditionalFormatting xmlns:xm="http://schemas.microsoft.com/office/excel/2006/main">
          <x14:cfRule type="expression" priority="668" stopIfTrue="1" id="{70B2AF97-BD52-4162-95FC-55DD696E9E79}">
            <xm:f>(60 * HOUR(FE10) + MINUTE(FE10)) &gt;(60 * HOUR(INDEX('1.Locations'!G2:G21,EZ10 + 1)) +MINUTE(INDEX('1.Locations'!G2:G21,EZ10 + 1)))</xm:f>
            <x14:dxf>
              <fill>
                <patternFill>
                  <bgColor indexed="52"/>
                </patternFill>
              </fill>
            </x14:dxf>
          </x14:cfRule>
          <xm:sqref>FE10</xm:sqref>
        </x14:conditionalFormatting>
        <x14:conditionalFormatting xmlns:xm="http://schemas.microsoft.com/office/excel/2006/main">
          <x14:cfRule type="expression" priority="669" stopIfTrue="1" id="{343B6782-717F-42D8-B530-B86FCECF65B9}">
            <xm:f>(60 * HOUR(FF10) + MINUTE(FF10)) &gt;(60 * HOUR(INDEX('1.Locations'!G2:G21,EZ10 + 1)) +MINUTE(INDEX('1.Locations'!G2:G21,EZ10 + 1)))</xm:f>
            <x14:dxf>
              <fill>
                <patternFill>
                  <bgColor indexed="52"/>
                </patternFill>
              </fill>
            </x14:dxf>
          </x14:cfRule>
          <xm:sqref>FF10</xm:sqref>
        </x14:conditionalFormatting>
        <x14:conditionalFormatting xmlns:xm="http://schemas.microsoft.com/office/excel/2006/main">
          <x14:cfRule type="cellIs" priority="670" stopIfTrue="1" operator="lessThan" id="{9DF0F0FE-E7CE-4192-AEEC-1F1737889F17}">
            <xm:f>INDEX('1.Locations'!F2:F21,EZ11 + 1)</xm:f>
            <x14:dxf>
              <fill>
                <patternFill>
                  <bgColor indexed="52"/>
                </patternFill>
              </fill>
            </x14:dxf>
          </x14:cfRule>
          <xm:sqref>FE11</xm:sqref>
        </x14:conditionalFormatting>
        <x14:conditionalFormatting xmlns:xm="http://schemas.microsoft.com/office/excel/2006/main">
          <x14:cfRule type="expression" priority="671" stopIfTrue="1" id="{86205741-0BCE-4CFD-891F-9C8AAC8442C6}">
            <xm:f>(60 * HOUR(FE11) + MINUTE(FE11)) &gt;(60 * HOUR(INDEX('1.Locations'!G2:G21,EZ11 + 1)) +MINUTE(INDEX('1.Locations'!G2:G21,EZ11 + 1)))</xm:f>
            <x14:dxf>
              <fill>
                <patternFill>
                  <bgColor indexed="52"/>
                </patternFill>
              </fill>
            </x14:dxf>
          </x14:cfRule>
          <xm:sqref>FE11</xm:sqref>
        </x14:conditionalFormatting>
        <x14:conditionalFormatting xmlns:xm="http://schemas.microsoft.com/office/excel/2006/main">
          <x14:cfRule type="expression" priority="672" stopIfTrue="1" id="{295D8578-9CA0-4088-A980-05168D8F7330}">
            <xm:f>(60 * HOUR(FF11) + MINUTE(FF11)) &gt;(60 * HOUR(INDEX('1.Locations'!G2:G21,EZ11 + 1)) +MINUTE(INDEX('1.Locations'!G2:G21,EZ11 + 1)))</xm:f>
            <x14:dxf>
              <fill>
                <patternFill>
                  <bgColor indexed="52"/>
                </patternFill>
              </fill>
            </x14:dxf>
          </x14:cfRule>
          <xm:sqref>FF11</xm:sqref>
        </x14:conditionalFormatting>
        <x14:conditionalFormatting xmlns:xm="http://schemas.microsoft.com/office/excel/2006/main">
          <x14:cfRule type="cellIs" priority="673" stopIfTrue="1" operator="lessThan" id="{A21CBF24-15B2-4E61-A0D2-232AB81E8B76}">
            <xm:f>INDEX('1.Locations'!F2:F21,EZ12 + 1)</xm:f>
            <x14:dxf>
              <fill>
                <patternFill>
                  <bgColor indexed="52"/>
                </patternFill>
              </fill>
            </x14:dxf>
          </x14:cfRule>
          <xm:sqref>FE12</xm:sqref>
        </x14:conditionalFormatting>
        <x14:conditionalFormatting xmlns:xm="http://schemas.microsoft.com/office/excel/2006/main">
          <x14:cfRule type="expression" priority="674" stopIfTrue="1" id="{B0B1BB46-9C50-49A1-9387-2B8600B7671C}">
            <xm:f>(60 * HOUR(FE12) + MINUTE(FE12)) &gt;(60 * HOUR(INDEX('1.Locations'!G2:G21,EZ12 + 1)) +MINUTE(INDEX('1.Locations'!G2:G21,EZ12 + 1)))</xm:f>
            <x14:dxf>
              <fill>
                <patternFill>
                  <bgColor indexed="52"/>
                </patternFill>
              </fill>
            </x14:dxf>
          </x14:cfRule>
          <xm:sqref>FE12</xm:sqref>
        </x14:conditionalFormatting>
        <x14:conditionalFormatting xmlns:xm="http://schemas.microsoft.com/office/excel/2006/main">
          <x14:cfRule type="expression" priority="675" stopIfTrue="1" id="{804D0E67-D90A-46F1-88E5-AC2ED4F4A08D}">
            <xm:f>(60 * HOUR(FF12) + MINUTE(FF12)) &gt;(60 * HOUR(INDEX('1.Locations'!G2:G21,EZ12 + 1)) +MINUTE(INDEX('1.Locations'!G2:G21,EZ12 + 1)))</xm:f>
            <x14:dxf>
              <fill>
                <patternFill>
                  <bgColor indexed="52"/>
                </patternFill>
              </fill>
            </x14:dxf>
          </x14:cfRule>
          <xm:sqref>FF12</xm:sqref>
        </x14:conditionalFormatting>
        <x14:conditionalFormatting xmlns:xm="http://schemas.microsoft.com/office/excel/2006/main">
          <x14:cfRule type="cellIs" priority="676" stopIfTrue="1" operator="lessThan" id="{A0F55C8D-47AC-4749-8BB5-A3882D4667FA}">
            <xm:f>INDEX('1.Locations'!F2:F21,EZ13 + 1)</xm:f>
            <x14:dxf>
              <fill>
                <patternFill>
                  <bgColor indexed="52"/>
                </patternFill>
              </fill>
            </x14:dxf>
          </x14:cfRule>
          <xm:sqref>FE13</xm:sqref>
        </x14:conditionalFormatting>
        <x14:conditionalFormatting xmlns:xm="http://schemas.microsoft.com/office/excel/2006/main">
          <x14:cfRule type="expression" priority="677" stopIfTrue="1" id="{5271052B-505E-44CF-9AF5-9FF72C04DED5}">
            <xm:f>(60 * HOUR(FE13) + MINUTE(FE13)) &gt;(60 * HOUR(INDEX('1.Locations'!G2:G21,EZ13 + 1)) +MINUTE(INDEX('1.Locations'!G2:G21,EZ13 + 1)))</xm:f>
            <x14:dxf>
              <fill>
                <patternFill>
                  <bgColor indexed="52"/>
                </patternFill>
              </fill>
            </x14:dxf>
          </x14:cfRule>
          <xm:sqref>FE13</xm:sqref>
        </x14:conditionalFormatting>
        <x14:conditionalFormatting xmlns:xm="http://schemas.microsoft.com/office/excel/2006/main">
          <x14:cfRule type="expression" priority="678" stopIfTrue="1" id="{E8B53054-0D18-4B8A-9639-8C3A639103E9}">
            <xm:f>(60 * HOUR(FF13) + MINUTE(FF13)) &gt;(60 * HOUR(INDEX('1.Locations'!G2:G21,EZ13 + 1)) +MINUTE(INDEX('1.Locations'!G2:G21,EZ13 + 1)))</xm:f>
            <x14:dxf>
              <fill>
                <patternFill>
                  <bgColor indexed="52"/>
                </patternFill>
              </fill>
            </x14:dxf>
          </x14:cfRule>
          <xm:sqref>FF13</xm:sqref>
        </x14:conditionalFormatting>
        <x14:conditionalFormatting xmlns:xm="http://schemas.microsoft.com/office/excel/2006/main">
          <x14:cfRule type="cellIs" priority="679" stopIfTrue="1" operator="lessThan" id="{635397EC-6897-42D9-97AD-E70DB1B9F71D}">
            <xm:f>INDEX('1.Locations'!F2:F21,EZ14 + 1)</xm:f>
            <x14:dxf>
              <fill>
                <patternFill>
                  <bgColor indexed="52"/>
                </patternFill>
              </fill>
            </x14:dxf>
          </x14:cfRule>
          <xm:sqref>FE14</xm:sqref>
        </x14:conditionalFormatting>
        <x14:conditionalFormatting xmlns:xm="http://schemas.microsoft.com/office/excel/2006/main">
          <x14:cfRule type="expression" priority="680" stopIfTrue="1" id="{B01C7384-77FB-41F4-8244-85974E43F716}">
            <xm:f>(60 * HOUR(FE14) + MINUTE(FE14)) &gt;(60 * HOUR(INDEX('1.Locations'!G2:G21,EZ14 + 1)) +MINUTE(INDEX('1.Locations'!G2:G21,EZ14 + 1)))</xm:f>
            <x14:dxf>
              <fill>
                <patternFill>
                  <bgColor indexed="52"/>
                </patternFill>
              </fill>
            </x14:dxf>
          </x14:cfRule>
          <xm:sqref>FE14</xm:sqref>
        </x14:conditionalFormatting>
        <x14:conditionalFormatting xmlns:xm="http://schemas.microsoft.com/office/excel/2006/main">
          <x14:cfRule type="expression" priority="681" stopIfTrue="1" id="{12A2440A-0734-4509-86E9-C4F2652A76D0}">
            <xm:f>(60 * HOUR(FF14) + MINUTE(FF14)) &gt;(60 * HOUR(INDEX('1.Locations'!G2:G21,EZ14 + 1)) +MINUTE(INDEX('1.Locations'!G2:G21,EZ14 + 1)))</xm:f>
            <x14:dxf>
              <fill>
                <patternFill>
                  <bgColor indexed="52"/>
                </patternFill>
              </fill>
            </x14:dxf>
          </x14:cfRule>
          <xm:sqref>FF14</xm:sqref>
        </x14:conditionalFormatting>
        <x14:conditionalFormatting xmlns:xm="http://schemas.microsoft.com/office/excel/2006/main">
          <x14:cfRule type="cellIs" priority="682" stopIfTrue="1" operator="lessThan" id="{35DCBF99-C18E-402A-9983-341783FC0D4B}">
            <xm:f>INDEX('1.Locations'!F2:F21,EZ15 + 1)</xm:f>
            <x14:dxf>
              <fill>
                <patternFill>
                  <bgColor indexed="52"/>
                </patternFill>
              </fill>
            </x14:dxf>
          </x14:cfRule>
          <xm:sqref>FE15</xm:sqref>
        </x14:conditionalFormatting>
        <x14:conditionalFormatting xmlns:xm="http://schemas.microsoft.com/office/excel/2006/main">
          <x14:cfRule type="expression" priority="683" stopIfTrue="1" id="{A0462843-EA1A-485A-B466-0B23AD4DAD0C}">
            <xm:f>(60 * HOUR(FE15) + MINUTE(FE15)) &gt;(60 * HOUR(INDEX('1.Locations'!G2:G21,EZ15 + 1)) +MINUTE(INDEX('1.Locations'!G2:G21,EZ15 + 1)))</xm:f>
            <x14:dxf>
              <fill>
                <patternFill>
                  <bgColor indexed="52"/>
                </patternFill>
              </fill>
            </x14:dxf>
          </x14:cfRule>
          <xm:sqref>FE15</xm:sqref>
        </x14:conditionalFormatting>
        <x14:conditionalFormatting xmlns:xm="http://schemas.microsoft.com/office/excel/2006/main">
          <x14:cfRule type="expression" priority="684" stopIfTrue="1" id="{7BC31347-0CDE-4126-BDA5-3F49EA3D5CD2}">
            <xm:f>(60 * HOUR(FF15) + MINUTE(FF15)) &gt;(60 * HOUR(INDEX('1.Locations'!G2:G21,EZ15 + 1)) +MINUTE(INDEX('1.Locations'!G2:G21,EZ15 + 1)))</xm:f>
            <x14:dxf>
              <fill>
                <patternFill>
                  <bgColor indexed="52"/>
                </patternFill>
              </fill>
            </x14:dxf>
          </x14:cfRule>
          <xm:sqref>FF15</xm:sqref>
        </x14:conditionalFormatting>
        <x14:conditionalFormatting xmlns:xm="http://schemas.microsoft.com/office/excel/2006/main">
          <x14:cfRule type="cellIs" priority="685" stopIfTrue="1" operator="lessThan" id="{5489D8D5-92A4-425D-BB42-70B6E6E031D2}">
            <xm:f>INDEX('1.Locations'!F2:F21,EZ16 + 1)</xm:f>
            <x14:dxf>
              <fill>
                <patternFill>
                  <bgColor indexed="52"/>
                </patternFill>
              </fill>
            </x14:dxf>
          </x14:cfRule>
          <xm:sqref>FE16</xm:sqref>
        </x14:conditionalFormatting>
        <x14:conditionalFormatting xmlns:xm="http://schemas.microsoft.com/office/excel/2006/main">
          <x14:cfRule type="expression" priority="686" stopIfTrue="1" id="{57D320B1-2152-461B-B9FE-88D7DA950E6B}">
            <xm:f>(60 * HOUR(FE16) + MINUTE(FE16)) &gt;(60 * HOUR(INDEX('1.Locations'!G2:G21,EZ16 + 1)) +MINUTE(INDEX('1.Locations'!G2:G21,EZ16 + 1)))</xm:f>
            <x14:dxf>
              <fill>
                <patternFill>
                  <bgColor indexed="52"/>
                </patternFill>
              </fill>
            </x14:dxf>
          </x14:cfRule>
          <xm:sqref>FE16</xm:sqref>
        </x14:conditionalFormatting>
        <x14:conditionalFormatting xmlns:xm="http://schemas.microsoft.com/office/excel/2006/main">
          <x14:cfRule type="expression" priority="687" stopIfTrue="1" id="{A965A69A-391C-438A-AC1F-19A95CA7D9A7}">
            <xm:f>(60 * HOUR(FF16) + MINUTE(FF16)) &gt;(60 * HOUR(INDEX('1.Locations'!G2:G21,EZ16 + 1)) +MINUTE(INDEX('1.Locations'!G2:G21,EZ16 + 1)))</xm:f>
            <x14:dxf>
              <fill>
                <patternFill>
                  <bgColor indexed="52"/>
                </patternFill>
              </fill>
            </x14:dxf>
          </x14:cfRule>
          <xm:sqref>FF16</xm:sqref>
        </x14:conditionalFormatting>
        <x14:conditionalFormatting xmlns:xm="http://schemas.microsoft.com/office/excel/2006/main">
          <x14:cfRule type="cellIs" priority="688" stopIfTrue="1" operator="lessThan" id="{17BA4799-2A53-4F78-98D0-1435C7E7EFE9}">
            <xm:f>INDEX('1.Locations'!F2:F21,EZ17 + 1)</xm:f>
            <x14:dxf>
              <fill>
                <patternFill>
                  <bgColor indexed="52"/>
                </patternFill>
              </fill>
            </x14:dxf>
          </x14:cfRule>
          <xm:sqref>FE17</xm:sqref>
        </x14:conditionalFormatting>
        <x14:conditionalFormatting xmlns:xm="http://schemas.microsoft.com/office/excel/2006/main">
          <x14:cfRule type="expression" priority="689" stopIfTrue="1" id="{D58439B4-3E3E-43EE-8C8C-AF493E5ACBD2}">
            <xm:f>(60 * HOUR(FE17) + MINUTE(FE17)) &gt;(60 * HOUR(INDEX('1.Locations'!G2:G21,EZ17 + 1)) +MINUTE(INDEX('1.Locations'!G2:G21,EZ17 + 1)))</xm:f>
            <x14:dxf>
              <fill>
                <patternFill>
                  <bgColor indexed="52"/>
                </patternFill>
              </fill>
            </x14:dxf>
          </x14:cfRule>
          <xm:sqref>FE17</xm:sqref>
        </x14:conditionalFormatting>
        <x14:conditionalFormatting xmlns:xm="http://schemas.microsoft.com/office/excel/2006/main">
          <x14:cfRule type="expression" priority="690" stopIfTrue="1" id="{0CDD178E-7C93-436F-8497-4F837A0A4224}">
            <xm:f>(60 * HOUR(FF17) + MINUTE(FF17)) &gt;(60 * HOUR(INDEX('1.Locations'!G2:G21,EZ17 + 1)) +MINUTE(INDEX('1.Locations'!G2:G21,EZ17 + 1)))</xm:f>
            <x14:dxf>
              <fill>
                <patternFill>
                  <bgColor indexed="52"/>
                </patternFill>
              </fill>
            </x14:dxf>
          </x14:cfRule>
          <xm:sqref>FF17</xm:sqref>
        </x14:conditionalFormatting>
        <x14:conditionalFormatting xmlns:xm="http://schemas.microsoft.com/office/excel/2006/main">
          <x14:cfRule type="cellIs" priority="691" stopIfTrue="1" operator="lessThan" id="{71F3F09E-2C55-4CC7-9E78-8F9280EE076B}">
            <xm:f>INDEX('1.Locations'!F2:F21,EZ18 + 1)</xm:f>
            <x14:dxf>
              <fill>
                <patternFill>
                  <bgColor indexed="52"/>
                </patternFill>
              </fill>
            </x14:dxf>
          </x14:cfRule>
          <xm:sqref>FE18</xm:sqref>
        </x14:conditionalFormatting>
        <x14:conditionalFormatting xmlns:xm="http://schemas.microsoft.com/office/excel/2006/main">
          <x14:cfRule type="expression" priority="692" stopIfTrue="1" id="{FBDA13B2-928E-4E9B-A433-76B969563539}">
            <xm:f>(60 * HOUR(FE18) + MINUTE(FE18)) &gt;(60 * HOUR(INDEX('1.Locations'!G2:G21,EZ18 + 1)) +MINUTE(INDEX('1.Locations'!G2:G21,EZ18 + 1)))</xm:f>
            <x14:dxf>
              <fill>
                <patternFill>
                  <bgColor indexed="52"/>
                </patternFill>
              </fill>
            </x14:dxf>
          </x14:cfRule>
          <xm:sqref>FE18</xm:sqref>
        </x14:conditionalFormatting>
        <x14:conditionalFormatting xmlns:xm="http://schemas.microsoft.com/office/excel/2006/main">
          <x14:cfRule type="expression" priority="693" stopIfTrue="1" id="{10F875AC-5843-466A-87BE-46E0EA249A8D}">
            <xm:f>(60 * HOUR(FF18) + MINUTE(FF18)) &gt;(60 * HOUR(INDEX('1.Locations'!G2:G21,EZ18 + 1)) +MINUTE(INDEX('1.Locations'!G2:G21,EZ18 + 1)))</xm:f>
            <x14:dxf>
              <fill>
                <patternFill>
                  <bgColor indexed="52"/>
                </patternFill>
              </fill>
            </x14:dxf>
          </x14:cfRule>
          <xm:sqref>FF18</xm:sqref>
        </x14:conditionalFormatting>
        <x14:conditionalFormatting xmlns:xm="http://schemas.microsoft.com/office/excel/2006/main">
          <x14:cfRule type="cellIs" priority="694" stopIfTrue="1" operator="lessThan" id="{4703FFC8-B993-42A4-BBC6-7640AB0275D4}">
            <xm:f>INDEX('1.Locations'!F2:F21,EZ19 + 1)</xm:f>
            <x14:dxf>
              <fill>
                <patternFill>
                  <bgColor indexed="52"/>
                </patternFill>
              </fill>
            </x14:dxf>
          </x14:cfRule>
          <xm:sqref>FE19</xm:sqref>
        </x14:conditionalFormatting>
        <x14:conditionalFormatting xmlns:xm="http://schemas.microsoft.com/office/excel/2006/main">
          <x14:cfRule type="expression" priority="695" stopIfTrue="1" id="{314164EE-B568-4E76-87A1-6727D10BC82C}">
            <xm:f>(60 * HOUR(FE19) + MINUTE(FE19)) &gt;(60 * HOUR(INDEX('1.Locations'!G2:G21,EZ19 + 1)) +MINUTE(INDEX('1.Locations'!G2:G21,EZ19 + 1)))</xm:f>
            <x14:dxf>
              <fill>
                <patternFill>
                  <bgColor indexed="52"/>
                </patternFill>
              </fill>
            </x14:dxf>
          </x14:cfRule>
          <xm:sqref>FE19</xm:sqref>
        </x14:conditionalFormatting>
        <x14:conditionalFormatting xmlns:xm="http://schemas.microsoft.com/office/excel/2006/main">
          <x14:cfRule type="expression" priority="696" stopIfTrue="1" id="{319A878E-832E-4D7F-8210-928601D291A7}">
            <xm:f>(60 * HOUR(FF19) + MINUTE(FF19)) &gt;(60 * HOUR(INDEX('1.Locations'!G2:G21,EZ19 + 1)) +MINUTE(INDEX('1.Locations'!G2:G21,EZ19 + 1)))</xm:f>
            <x14:dxf>
              <fill>
                <patternFill>
                  <bgColor indexed="52"/>
                </patternFill>
              </fill>
            </x14:dxf>
          </x14:cfRule>
          <xm:sqref>FF19</xm:sqref>
        </x14:conditionalFormatting>
        <x14:conditionalFormatting xmlns:xm="http://schemas.microsoft.com/office/excel/2006/main">
          <x14:cfRule type="cellIs" priority="697" stopIfTrue="1" operator="lessThan" id="{FF4F877E-216E-4D46-9EF7-F156A79621D3}">
            <xm:f>INDEX('1.Locations'!F2:F21,EZ20 + 1)</xm:f>
            <x14:dxf>
              <fill>
                <patternFill>
                  <bgColor indexed="52"/>
                </patternFill>
              </fill>
            </x14:dxf>
          </x14:cfRule>
          <xm:sqref>FE20</xm:sqref>
        </x14:conditionalFormatting>
        <x14:conditionalFormatting xmlns:xm="http://schemas.microsoft.com/office/excel/2006/main">
          <x14:cfRule type="expression" priority="698" stopIfTrue="1" id="{706F561C-D7DA-44E7-87EA-C2F6FE574605}">
            <xm:f>(60 * HOUR(FE20) + MINUTE(FE20)) &gt;(60 * HOUR(INDEX('1.Locations'!G2:G21,EZ20 + 1)) +MINUTE(INDEX('1.Locations'!G2:G21,EZ20 + 1)))</xm:f>
            <x14:dxf>
              <fill>
                <patternFill>
                  <bgColor indexed="52"/>
                </patternFill>
              </fill>
            </x14:dxf>
          </x14:cfRule>
          <xm:sqref>FE20</xm:sqref>
        </x14:conditionalFormatting>
        <x14:conditionalFormatting xmlns:xm="http://schemas.microsoft.com/office/excel/2006/main">
          <x14:cfRule type="expression" priority="699" stopIfTrue="1" id="{2F60BBE0-C959-45A6-983B-1D9C6B06C01B}">
            <xm:f>(60 * HOUR(FF20) + MINUTE(FF20)) &gt;(60 * HOUR(INDEX('1.Locations'!G2:G21,EZ20 + 1)) +MINUTE(INDEX('1.Locations'!G2:G21,EZ20 + 1)))</xm:f>
            <x14:dxf>
              <fill>
                <patternFill>
                  <bgColor indexed="52"/>
                </patternFill>
              </fill>
            </x14:dxf>
          </x14:cfRule>
          <xm:sqref>FF20</xm:sqref>
        </x14:conditionalFormatting>
        <x14:conditionalFormatting xmlns:xm="http://schemas.microsoft.com/office/excel/2006/main">
          <x14:cfRule type="cellIs" priority="700" stopIfTrue="1" operator="lessThan" id="{C88C9176-E99D-4DDD-AEE2-8883EBC61A16}">
            <xm:f>INDEX('1.Locations'!F2:F21,EZ21 + 1)</xm:f>
            <x14:dxf>
              <fill>
                <patternFill>
                  <bgColor indexed="52"/>
                </patternFill>
              </fill>
            </x14:dxf>
          </x14:cfRule>
          <xm:sqref>FE21</xm:sqref>
        </x14:conditionalFormatting>
        <x14:conditionalFormatting xmlns:xm="http://schemas.microsoft.com/office/excel/2006/main">
          <x14:cfRule type="expression" priority="701" stopIfTrue="1" id="{D9F2EB57-B986-40E3-B5D6-1B9F018BC2F2}">
            <xm:f>(60 * HOUR(FE21) + MINUTE(FE21)) &gt;(60 * HOUR(INDEX('1.Locations'!G2:G21,EZ21 + 1)) +MINUTE(INDEX('1.Locations'!G2:G21,EZ21 + 1)))</xm:f>
            <x14:dxf>
              <fill>
                <patternFill>
                  <bgColor indexed="52"/>
                </patternFill>
              </fill>
            </x14:dxf>
          </x14:cfRule>
          <xm:sqref>FE21</xm:sqref>
        </x14:conditionalFormatting>
        <x14:conditionalFormatting xmlns:xm="http://schemas.microsoft.com/office/excel/2006/main">
          <x14:cfRule type="expression" priority="702" stopIfTrue="1" id="{76C2D348-D34F-4A2A-8565-2A57CDA46B5B}">
            <xm:f>(60 * HOUR(FF21) + MINUTE(FF21)) &gt;(60 * HOUR(INDEX('1.Locations'!G2:G21,EZ21 + 1)) +MINUTE(INDEX('1.Locations'!G2:G21,EZ21 + 1)))</xm:f>
            <x14:dxf>
              <fill>
                <patternFill>
                  <bgColor indexed="52"/>
                </patternFill>
              </fill>
            </x14:dxf>
          </x14:cfRule>
          <xm:sqref>FF21</xm:sqref>
        </x14:conditionalFormatting>
        <x14:conditionalFormatting xmlns:xm="http://schemas.microsoft.com/office/excel/2006/main">
          <x14:cfRule type="cellIs" priority="703" stopIfTrue="1" operator="lessThan" id="{85A09F16-F19B-4B97-82E5-AE4229515B1A}">
            <xm:f>INDEX('1.Locations'!F2:F21,EZ22 + 1)</xm:f>
            <x14:dxf>
              <fill>
                <patternFill>
                  <bgColor indexed="52"/>
                </patternFill>
              </fill>
            </x14:dxf>
          </x14:cfRule>
          <xm:sqref>FE22</xm:sqref>
        </x14:conditionalFormatting>
        <x14:conditionalFormatting xmlns:xm="http://schemas.microsoft.com/office/excel/2006/main">
          <x14:cfRule type="expression" priority="704" stopIfTrue="1" id="{F0FDA965-A059-4178-A76F-C6D9E5DEFCDA}">
            <xm:f>(60 * HOUR(FE22) + MINUTE(FE22)) &gt;(60 * HOUR(INDEX('1.Locations'!G2:G21,EZ22 + 1)) +MINUTE(INDEX('1.Locations'!G2:G21,EZ22 + 1)))</xm:f>
            <x14:dxf>
              <fill>
                <patternFill>
                  <bgColor indexed="52"/>
                </patternFill>
              </fill>
            </x14:dxf>
          </x14:cfRule>
          <xm:sqref>FE22</xm:sqref>
        </x14:conditionalFormatting>
        <x14:conditionalFormatting xmlns:xm="http://schemas.microsoft.com/office/excel/2006/main">
          <x14:cfRule type="expression" priority="705" stopIfTrue="1" id="{27440583-64C9-41DF-BEF4-3EB9F89917EB}">
            <xm:f>(60 * HOUR(FF22) + MINUTE(FF22)) &gt;(60 * HOUR(INDEX('1.Locations'!G2:G21,EZ22 + 1)) +MINUTE(INDEX('1.Locations'!G2:G21,EZ22 + 1)))</xm:f>
            <x14:dxf>
              <fill>
                <patternFill>
                  <bgColor indexed="52"/>
                </patternFill>
              </fill>
            </x14:dxf>
          </x14:cfRule>
          <xm:sqref>FF22</xm:sqref>
        </x14:conditionalFormatting>
        <x14:conditionalFormatting xmlns:xm="http://schemas.microsoft.com/office/excel/2006/main">
          <x14:cfRule type="cellIs" priority="706" stopIfTrue="1" operator="lessThan" id="{1B2933B0-8DEA-4B00-B47D-DC2976F86969}">
            <xm:f>INDEX('1.Locations'!F2:F21,EZ23 + 1)</xm:f>
            <x14:dxf>
              <fill>
                <patternFill>
                  <bgColor indexed="52"/>
                </patternFill>
              </fill>
            </x14:dxf>
          </x14:cfRule>
          <xm:sqref>FE23</xm:sqref>
        </x14:conditionalFormatting>
        <x14:conditionalFormatting xmlns:xm="http://schemas.microsoft.com/office/excel/2006/main">
          <x14:cfRule type="expression" priority="707" stopIfTrue="1" id="{8D2DBE4A-5769-4194-B049-574501D6B0B1}">
            <xm:f>(60 * HOUR(FE23) + MINUTE(FE23)) &gt;(60 * HOUR(INDEX('1.Locations'!G2:G21,EZ23 + 1)) +MINUTE(INDEX('1.Locations'!G2:G21,EZ23 + 1)))</xm:f>
            <x14:dxf>
              <fill>
                <patternFill>
                  <bgColor indexed="52"/>
                </patternFill>
              </fill>
            </x14:dxf>
          </x14:cfRule>
          <xm:sqref>FE23</xm:sqref>
        </x14:conditionalFormatting>
        <x14:conditionalFormatting xmlns:xm="http://schemas.microsoft.com/office/excel/2006/main">
          <x14:cfRule type="expression" priority="708" stopIfTrue="1" id="{D47D0D08-5EC4-4CDE-B1A8-6DC6CA548F6F}">
            <xm:f>(60 * HOUR(FF23) + MINUTE(FF23)) &gt;(60 * HOUR(INDEX('1.Locations'!G2:G21,EZ23 + 1)) +MINUTE(INDEX('1.Locations'!G2:G21,EZ23 + 1)))</xm:f>
            <x14:dxf>
              <fill>
                <patternFill>
                  <bgColor indexed="52"/>
                </patternFill>
              </fill>
            </x14:dxf>
          </x14:cfRule>
          <xm:sqref>FF23</xm:sqref>
        </x14:conditionalFormatting>
        <x14:conditionalFormatting xmlns:xm="http://schemas.microsoft.com/office/excel/2006/main">
          <x14:cfRule type="cellIs" priority="709" stopIfTrue="1" operator="lessThan" id="{29216361-D970-4BAD-9A08-482EA52D5028}">
            <xm:f>INDEX('1.Locations'!F2:F21,EZ24 + 1)</xm:f>
            <x14:dxf>
              <fill>
                <patternFill>
                  <bgColor indexed="52"/>
                </patternFill>
              </fill>
            </x14:dxf>
          </x14:cfRule>
          <xm:sqref>FE24</xm:sqref>
        </x14:conditionalFormatting>
        <x14:conditionalFormatting xmlns:xm="http://schemas.microsoft.com/office/excel/2006/main">
          <x14:cfRule type="expression" priority="710" stopIfTrue="1" id="{FF9B28B3-3A68-4AD4-9D70-21BF15FDDA57}">
            <xm:f>(60 * HOUR(FE24) + MINUTE(FE24)) &gt;(60 * HOUR(INDEX('1.Locations'!G2:G21,EZ24 + 1)) +MINUTE(INDEX('1.Locations'!G2:G21,EZ24 + 1)))</xm:f>
            <x14:dxf>
              <fill>
                <patternFill>
                  <bgColor indexed="52"/>
                </patternFill>
              </fill>
            </x14:dxf>
          </x14:cfRule>
          <xm:sqref>FE24</xm:sqref>
        </x14:conditionalFormatting>
        <x14:conditionalFormatting xmlns:xm="http://schemas.microsoft.com/office/excel/2006/main">
          <x14:cfRule type="expression" priority="711" stopIfTrue="1" id="{41A82515-80ED-4F00-A839-8C6D5CE2FEBB}">
            <xm:f>(60 * HOUR(FF24) + MINUTE(FF24)) &gt;(60 * HOUR(INDEX('1.Locations'!G2:G21,EZ24 + 1)) +MINUTE(INDEX('1.Locations'!G2:G21,EZ24 + 1)))</xm:f>
            <x14:dxf>
              <fill>
                <patternFill>
                  <bgColor indexed="52"/>
                </patternFill>
              </fill>
            </x14:dxf>
          </x14:cfRule>
          <xm:sqref>FF24</xm:sqref>
        </x14:conditionalFormatting>
        <x14:conditionalFormatting xmlns:xm="http://schemas.microsoft.com/office/excel/2006/main">
          <x14:cfRule type="cellIs" priority="712" stopIfTrue="1" operator="lessThan" id="{286C6D14-CA4F-4145-A4F2-12956DEC74FA}">
            <xm:f>INDEX('1.Locations'!F2:F21,EZ25 + 1)</xm:f>
            <x14:dxf>
              <fill>
                <patternFill>
                  <bgColor indexed="52"/>
                </patternFill>
              </fill>
            </x14:dxf>
          </x14:cfRule>
          <xm:sqref>FE25</xm:sqref>
        </x14:conditionalFormatting>
        <x14:conditionalFormatting xmlns:xm="http://schemas.microsoft.com/office/excel/2006/main">
          <x14:cfRule type="expression" priority="713" stopIfTrue="1" id="{CA39F8B7-A0A7-46B5-BA5A-2866B37C3191}">
            <xm:f>(60 * HOUR(FE25) + MINUTE(FE25)) &gt;(60 * HOUR(INDEX('1.Locations'!G2:G21,EZ25 + 1)) +MINUTE(INDEX('1.Locations'!G2:G21,EZ25 + 1)))</xm:f>
            <x14:dxf>
              <fill>
                <patternFill>
                  <bgColor indexed="52"/>
                </patternFill>
              </fill>
            </x14:dxf>
          </x14:cfRule>
          <xm:sqref>FE25</xm:sqref>
        </x14:conditionalFormatting>
        <x14:conditionalFormatting xmlns:xm="http://schemas.microsoft.com/office/excel/2006/main">
          <x14:cfRule type="expression" priority="714" stopIfTrue="1" id="{66634E25-0A18-4CBC-BE36-CDFE8BB80A71}">
            <xm:f>(60 * HOUR(FF25) + MINUTE(FF25)) &gt;(60 * HOUR(INDEX('1.Locations'!G2:G21,EZ25 + 1)) +MINUTE(INDEX('1.Locations'!G2:G21,EZ25 + 1)))</xm:f>
            <x14:dxf>
              <fill>
                <patternFill>
                  <bgColor indexed="52"/>
                </patternFill>
              </fill>
            </x14:dxf>
          </x14:cfRule>
          <xm:sqref>FF25</xm:sqref>
        </x14:conditionalFormatting>
        <x14:conditionalFormatting xmlns:xm="http://schemas.microsoft.com/office/excel/2006/main">
          <x14:cfRule type="cellIs" priority="715" stopIfTrue="1" operator="greaterThan" id="{C8F2760F-5567-4976-8B4F-F25ECEFB8840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FC6:FC25</xm:sqref>
        </x14:conditionalFormatting>
        <x14:conditionalFormatting xmlns:xm="http://schemas.microsoft.com/office/excel/2006/main">
          <x14:cfRule type="cellIs" priority="716" stopIfTrue="1" operator="greaterThan" id="{E7ADF663-87D1-4460-89A8-6E2984EEBCAB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FM6:FM25</xm:sqref>
        </x14:conditionalFormatting>
        <x14:conditionalFormatting xmlns:xm="http://schemas.microsoft.com/office/excel/2006/main">
          <x14:cfRule type="cellIs" priority="718" stopIfTrue="1" operator="greaterThan" id="{F43EE9EE-B29E-4AFE-9611-D4A9D0E4D3A8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FD6:FD25</xm:sqref>
        </x14:conditionalFormatting>
        <x14:conditionalFormatting xmlns:xm="http://schemas.microsoft.com/office/excel/2006/main">
          <x14:cfRule type="cellIs" priority="719" stopIfTrue="1" operator="greaterThan" id="{AED084EF-FEE2-4D7A-A619-D3D3A32742B9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FG6:FG25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Title="Warning" error="Please select a value from the list available in the selected cell." xr:uid="{9534A2A5-4E47-417B-A1A0-9C2FDB7E3CAF}">
          <x14:formula1>
            <xm:f>'1.Locations'!$B$2:$B$22</xm:f>
          </x14:formula1>
          <xm:sqref>B6:B25</xm:sqref>
        </x14:dataValidation>
        <x14:dataValidation type="list" allowBlank="1" showInputMessage="1" showErrorMessage="1" errorTitle="Warning" error="Please select a value from the list available in the selected cell." xr:uid="{CB72B43D-B260-49FD-AF82-BAAD01A27612}">
          <x14:formula1>
            <xm:f>'1.Locations'!$B$2:$B$22</xm:f>
          </x14:formula1>
          <xm:sqref>S6:S25</xm:sqref>
        </x14:dataValidation>
        <x14:dataValidation type="list" allowBlank="1" showInputMessage="1" showErrorMessage="1" errorTitle="Warning" error="Please select a value from the list available in the selected cell." xr:uid="{1C592798-3657-46BB-A92E-ECCA37F88F3F}">
          <x14:formula1>
            <xm:f>'1.Locations'!$B$2:$B$22</xm:f>
          </x14:formula1>
          <xm:sqref>AJ6:AJ25</xm:sqref>
        </x14:dataValidation>
        <x14:dataValidation type="list" allowBlank="1" showInputMessage="1" showErrorMessage="1" errorTitle="Warning" error="Please select a value from the list available in the selected cell." xr:uid="{33D8B52A-2748-4F4F-A510-65E20345939B}">
          <x14:formula1>
            <xm:f>'1.Locations'!$B$2:$B$22</xm:f>
          </x14:formula1>
          <xm:sqref>BA6:BA25</xm:sqref>
        </x14:dataValidation>
        <x14:dataValidation type="list" allowBlank="1" showInputMessage="1" showErrorMessage="1" errorTitle="Warning" error="Please select a value from the list available in the selected cell." xr:uid="{B3EC9A72-9F83-4C8D-A637-D6BEB484A460}">
          <x14:formula1>
            <xm:f>'1.Locations'!$B$2:$B$22</xm:f>
          </x14:formula1>
          <xm:sqref>BR6:BR25</xm:sqref>
        </x14:dataValidation>
        <x14:dataValidation type="list" allowBlank="1" showInputMessage="1" showErrorMessage="1" errorTitle="Warning" error="Please select a value from the list available in the selected cell." xr:uid="{AAC88ACC-F1E7-4193-B49A-95BD8F292F1F}">
          <x14:formula1>
            <xm:f>'1.Locations'!$B$2:$B$22</xm:f>
          </x14:formula1>
          <xm:sqref>CI6:CI25</xm:sqref>
        </x14:dataValidation>
        <x14:dataValidation type="list" allowBlank="1" showInputMessage="1" showErrorMessage="1" errorTitle="Warning" error="Please select a value from the list available in the selected cell." xr:uid="{C772CA42-B9FB-4433-BE73-FC765E6301DE}">
          <x14:formula1>
            <xm:f>'1.Locations'!$B$2:$B$22</xm:f>
          </x14:formula1>
          <xm:sqref>CZ6:CZ25</xm:sqref>
        </x14:dataValidation>
        <x14:dataValidation type="list" allowBlank="1" showInputMessage="1" showErrorMessage="1" errorTitle="Warning" error="Please select a value from the list available in the selected cell." xr:uid="{64896B64-ABBF-4E48-80E2-84F9BE221132}">
          <x14:formula1>
            <xm:f>'1.Locations'!$B$2:$B$22</xm:f>
          </x14:formula1>
          <xm:sqref>DQ6:DQ25</xm:sqref>
        </x14:dataValidation>
        <x14:dataValidation type="list" allowBlank="1" showInputMessage="1" showErrorMessage="1" errorTitle="Warning" error="Please select a value from the list available in the selected cell." xr:uid="{88F0D082-0B4A-48A1-BBCE-BB019E13EB93}">
          <x14:formula1>
            <xm:f>'1.Locations'!$B$2:$B$22</xm:f>
          </x14:formula1>
          <xm:sqref>EH6:EH25</xm:sqref>
        </x14:dataValidation>
        <x14:dataValidation type="list" allowBlank="1" showInputMessage="1" showErrorMessage="1" errorTitle="Warning" error="Please select a value from the list available in the selected cell." xr:uid="{ABEBE3CC-ABFC-4747-BBEE-FA71CED1BB0A}">
          <x14:formula1>
            <xm:f>'1.Locations'!$B$2:$B$22</xm:f>
          </x14:formula1>
          <xm:sqref>EY6:EY25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3EB1C-D204-4343-8FC7-2FDB04C21AC3}">
  <dimension ref="A1:G30"/>
  <sheetViews>
    <sheetView tabSelected="1" workbookViewId="0">
      <selection sqref="A1:G30"/>
    </sheetView>
  </sheetViews>
  <sheetFormatPr defaultRowHeight="14.4" x14ac:dyDescent="0.3"/>
  <cols>
    <col min="2" max="2" width="13.5546875" bestFit="1" customWidth="1"/>
    <col min="3" max="3" width="10.44140625" bestFit="1" customWidth="1"/>
    <col min="4" max="4" width="10.6640625" bestFit="1" customWidth="1"/>
    <col min="5" max="5" width="12.109375" bestFit="1" customWidth="1"/>
    <col min="6" max="6" width="16" bestFit="1" customWidth="1"/>
    <col min="7" max="7" width="15" bestFit="1" customWidth="1"/>
  </cols>
  <sheetData>
    <row r="1" spans="1:7" x14ac:dyDescent="0.3">
      <c r="A1" s="81" t="s">
        <v>121</v>
      </c>
      <c r="B1" s="82" t="s">
        <v>95</v>
      </c>
      <c r="C1" s="82" t="s">
        <v>40</v>
      </c>
      <c r="D1" s="82" t="s">
        <v>43</v>
      </c>
      <c r="E1" s="82" t="s">
        <v>44</v>
      </c>
      <c r="F1" s="82" t="s">
        <v>122</v>
      </c>
      <c r="G1" s="83" t="s">
        <v>50</v>
      </c>
    </row>
    <row r="2" spans="1:7" x14ac:dyDescent="0.3">
      <c r="A2" s="70">
        <v>1</v>
      </c>
      <c r="B2" s="71" t="s">
        <v>52</v>
      </c>
      <c r="C2" s="72">
        <v>0</v>
      </c>
      <c r="D2" s="72">
        <v>50</v>
      </c>
      <c r="E2" s="72">
        <v>50</v>
      </c>
      <c r="F2" s="72">
        <v>0</v>
      </c>
      <c r="G2" s="73">
        <v>0</v>
      </c>
    </row>
    <row r="3" spans="1:7" x14ac:dyDescent="0.3">
      <c r="A3" s="74"/>
      <c r="B3" s="75" t="s">
        <v>69</v>
      </c>
      <c r="C3" s="75">
        <v>15</v>
      </c>
      <c r="D3" s="75">
        <v>37.4</v>
      </c>
      <c r="E3" s="75">
        <v>35.5</v>
      </c>
      <c r="F3" s="75">
        <v>19.20963300013824</v>
      </c>
      <c r="G3" s="76">
        <v>597.29999999999995</v>
      </c>
    </row>
    <row r="4" spans="1:7" x14ac:dyDescent="0.3">
      <c r="A4" s="74"/>
      <c r="B4" s="75" t="s">
        <v>63</v>
      </c>
      <c r="C4" s="75">
        <v>9</v>
      </c>
      <c r="D4" s="75">
        <v>36.5</v>
      </c>
      <c r="E4" s="75">
        <v>44</v>
      </c>
      <c r="F4" s="75">
        <v>27.757147258681478</v>
      </c>
      <c r="G4" s="76">
        <v>666</v>
      </c>
    </row>
    <row r="5" spans="1:7" x14ac:dyDescent="0.3">
      <c r="A5" s="77"/>
      <c r="B5" s="78" t="s">
        <v>52</v>
      </c>
      <c r="C5" s="79">
        <v>0</v>
      </c>
      <c r="D5" s="79">
        <v>50</v>
      </c>
      <c r="E5" s="79">
        <v>50</v>
      </c>
      <c r="F5" s="79">
        <v>42.530433961375635</v>
      </c>
      <c r="G5" s="80">
        <v>0</v>
      </c>
    </row>
    <row r="6" spans="1:7" x14ac:dyDescent="0.3">
      <c r="A6" s="70">
        <v>2</v>
      </c>
      <c r="B6" s="71" t="s">
        <v>52</v>
      </c>
      <c r="C6" s="72">
        <v>0</v>
      </c>
      <c r="D6" s="72">
        <v>50</v>
      </c>
      <c r="E6" s="72">
        <v>50</v>
      </c>
      <c r="F6" s="72">
        <v>0</v>
      </c>
      <c r="G6" s="73">
        <v>0</v>
      </c>
    </row>
    <row r="7" spans="1:7" x14ac:dyDescent="0.3">
      <c r="A7" s="74"/>
      <c r="B7" s="75" t="s">
        <v>65</v>
      </c>
      <c r="C7" s="75">
        <v>11</v>
      </c>
      <c r="D7" s="75">
        <v>87.5</v>
      </c>
      <c r="E7" s="75">
        <v>7.3</v>
      </c>
      <c r="F7" s="75">
        <v>56.82904187121229</v>
      </c>
      <c r="G7" s="76">
        <v>421.2</v>
      </c>
    </row>
    <row r="8" spans="1:7" x14ac:dyDescent="0.3">
      <c r="A8" s="74"/>
      <c r="B8" s="75" t="s">
        <v>73</v>
      </c>
      <c r="C8" s="75">
        <v>19</v>
      </c>
      <c r="D8" s="75">
        <v>86.4</v>
      </c>
      <c r="E8" s="75">
        <v>15.1</v>
      </c>
      <c r="F8" s="75">
        <v>64.70622410853548</v>
      </c>
      <c r="G8" s="76">
        <v>51.5</v>
      </c>
    </row>
    <row r="9" spans="1:7" x14ac:dyDescent="0.3">
      <c r="A9" s="74"/>
      <c r="B9" s="75" t="s">
        <v>56</v>
      </c>
      <c r="C9" s="75">
        <v>2</v>
      </c>
      <c r="D9" s="75">
        <v>76.400000000000006</v>
      </c>
      <c r="E9" s="75">
        <v>36.4</v>
      </c>
      <c r="F9" s="75">
        <v>88.236842459951575</v>
      </c>
      <c r="G9" s="76">
        <v>709.8</v>
      </c>
    </row>
    <row r="10" spans="1:7" x14ac:dyDescent="0.3">
      <c r="A10" s="74"/>
      <c r="B10" s="75" t="s">
        <v>60</v>
      </c>
      <c r="C10" s="75">
        <v>6</v>
      </c>
      <c r="D10" s="75">
        <v>72.599999999999994</v>
      </c>
      <c r="E10" s="75">
        <v>74</v>
      </c>
      <c r="F10" s="75">
        <v>126.02837590330367</v>
      </c>
      <c r="G10" s="76">
        <v>26.3</v>
      </c>
    </row>
    <row r="11" spans="1:7" x14ac:dyDescent="0.3">
      <c r="A11" s="74"/>
      <c r="B11" s="75" t="s">
        <v>70</v>
      </c>
      <c r="C11" s="75">
        <v>16</v>
      </c>
      <c r="D11" s="75">
        <v>54.4</v>
      </c>
      <c r="E11" s="75">
        <v>75.3</v>
      </c>
      <c r="F11" s="75">
        <v>144.27474540520731</v>
      </c>
      <c r="G11" s="76">
        <v>667.8</v>
      </c>
    </row>
    <row r="12" spans="1:7" x14ac:dyDescent="0.3">
      <c r="A12" s="77"/>
      <c r="B12" s="78" t="s">
        <v>52</v>
      </c>
      <c r="C12" s="79">
        <v>0</v>
      </c>
      <c r="D12" s="79">
        <v>50</v>
      </c>
      <c r="E12" s="79">
        <v>50</v>
      </c>
      <c r="F12" s="79">
        <v>169.95450397105057</v>
      </c>
      <c r="G12" s="80">
        <v>0</v>
      </c>
    </row>
    <row r="13" spans="1:7" x14ac:dyDescent="0.3">
      <c r="A13" s="70">
        <v>3</v>
      </c>
      <c r="B13" s="71" t="s">
        <v>52</v>
      </c>
      <c r="C13" s="72">
        <v>0</v>
      </c>
      <c r="D13" s="72">
        <v>50</v>
      </c>
      <c r="E13" s="72">
        <v>50</v>
      </c>
      <c r="F13" s="72">
        <v>0</v>
      </c>
      <c r="G13" s="73">
        <v>0</v>
      </c>
    </row>
    <row r="14" spans="1:7" x14ac:dyDescent="0.3">
      <c r="A14" s="74"/>
      <c r="B14" s="75" t="s">
        <v>67</v>
      </c>
      <c r="C14" s="75">
        <v>13</v>
      </c>
      <c r="D14" s="75">
        <v>11</v>
      </c>
      <c r="E14" s="75">
        <v>78.900000000000006</v>
      </c>
      <c r="F14" s="75">
        <v>48.54080757465826</v>
      </c>
      <c r="G14" s="76">
        <v>389.9</v>
      </c>
    </row>
    <row r="15" spans="1:7" x14ac:dyDescent="0.3">
      <c r="A15" s="74"/>
      <c r="B15" s="75" t="s">
        <v>57</v>
      </c>
      <c r="C15" s="75">
        <v>3</v>
      </c>
      <c r="D15" s="75">
        <v>0.9</v>
      </c>
      <c r="E15" s="75">
        <v>61.7</v>
      </c>
      <c r="F15" s="75">
        <v>68.486985153332327</v>
      </c>
      <c r="G15" s="76">
        <v>244.4</v>
      </c>
    </row>
    <row r="16" spans="1:7" x14ac:dyDescent="0.3">
      <c r="A16" s="74"/>
      <c r="B16" s="75" t="s">
        <v>64</v>
      </c>
      <c r="C16" s="75">
        <v>10</v>
      </c>
      <c r="D16" s="75">
        <v>1.8</v>
      </c>
      <c r="E16" s="75">
        <v>60.9</v>
      </c>
      <c r="F16" s="75">
        <v>69.691144611211556</v>
      </c>
      <c r="G16" s="76">
        <v>397.6</v>
      </c>
    </row>
    <row r="17" spans="1:7" x14ac:dyDescent="0.3">
      <c r="A17" s="74"/>
      <c r="B17" s="75" t="s">
        <v>59</v>
      </c>
      <c r="C17" s="75">
        <v>5</v>
      </c>
      <c r="D17" s="75">
        <v>20.6</v>
      </c>
      <c r="E17" s="75">
        <v>51.4</v>
      </c>
      <c r="F17" s="75">
        <v>90.75509485801949</v>
      </c>
      <c r="G17" s="76">
        <v>722.6</v>
      </c>
    </row>
    <row r="18" spans="1:7" x14ac:dyDescent="0.3">
      <c r="A18" s="74"/>
      <c r="B18" s="75" t="s">
        <v>68</v>
      </c>
      <c r="C18" s="75">
        <v>14</v>
      </c>
      <c r="D18" s="75">
        <v>23</v>
      </c>
      <c r="E18" s="75">
        <v>47.5</v>
      </c>
      <c r="F18" s="75">
        <v>95.334396114761617</v>
      </c>
      <c r="G18" s="76">
        <v>84.2</v>
      </c>
    </row>
    <row r="19" spans="1:7" x14ac:dyDescent="0.3">
      <c r="A19" s="77"/>
      <c r="B19" s="78" t="s">
        <v>52</v>
      </c>
      <c r="C19" s="79">
        <v>0</v>
      </c>
      <c r="D19" s="79">
        <v>50</v>
      </c>
      <c r="E19" s="79">
        <v>50</v>
      </c>
      <c r="F19" s="79">
        <v>122.44988984067412</v>
      </c>
      <c r="G19" s="80">
        <v>0</v>
      </c>
    </row>
    <row r="20" spans="1:7" x14ac:dyDescent="0.3">
      <c r="A20" s="70">
        <v>4</v>
      </c>
      <c r="B20" s="71" t="s">
        <v>52</v>
      </c>
      <c r="C20" s="72">
        <v>0</v>
      </c>
      <c r="D20" s="72">
        <v>50</v>
      </c>
      <c r="E20" s="72">
        <v>50</v>
      </c>
      <c r="F20" s="72">
        <v>0</v>
      </c>
      <c r="G20" s="73">
        <v>0</v>
      </c>
    </row>
    <row r="21" spans="1:7" x14ac:dyDescent="0.3">
      <c r="A21" s="74"/>
      <c r="B21" s="75" t="s">
        <v>71</v>
      </c>
      <c r="C21" s="75">
        <v>17</v>
      </c>
      <c r="D21" s="75">
        <v>33.6</v>
      </c>
      <c r="E21" s="75">
        <v>87.1</v>
      </c>
      <c r="F21" s="75">
        <v>40.563160626361451</v>
      </c>
      <c r="G21" s="76">
        <v>315.60000000000002</v>
      </c>
    </row>
    <row r="22" spans="1:7" x14ac:dyDescent="0.3">
      <c r="A22" s="74"/>
      <c r="B22" s="75" t="s">
        <v>66</v>
      </c>
      <c r="C22" s="75">
        <v>12</v>
      </c>
      <c r="D22" s="75">
        <v>13.6</v>
      </c>
      <c r="E22" s="75">
        <v>96.5</v>
      </c>
      <c r="F22" s="75">
        <v>62.662029375688874</v>
      </c>
      <c r="G22" s="76">
        <v>848.2</v>
      </c>
    </row>
    <row r="23" spans="1:7" x14ac:dyDescent="0.3">
      <c r="A23" s="74"/>
      <c r="B23" s="75" t="s">
        <v>62</v>
      </c>
      <c r="C23" s="75">
        <v>8</v>
      </c>
      <c r="D23" s="75">
        <v>13.6</v>
      </c>
      <c r="E23" s="75">
        <v>93</v>
      </c>
      <c r="F23" s="75">
        <v>66.162029375688874</v>
      </c>
      <c r="G23" s="76">
        <v>791.7</v>
      </c>
    </row>
    <row r="24" spans="1:7" x14ac:dyDescent="0.3">
      <c r="A24" s="77"/>
      <c r="B24" s="78" t="s">
        <v>52</v>
      </c>
      <c r="C24" s="79">
        <v>0</v>
      </c>
      <c r="D24" s="79">
        <v>50</v>
      </c>
      <c r="E24" s="79">
        <v>50</v>
      </c>
      <c r="F24" s="79">
        <v>122.49993846007007</v>
      </c>
      <c r="G24" s="80">
        <v>0</v>
      </c>
    </row>
    <row r="25" spans="1:7" x14ac:dyDescent="0.3">
      <c r="A25" s="70">
        <v>5</v>
      </c>
      <c r="B25" s="71" t="s">
        <v>52</v>
      </c>
      <c r="C25" s="72">
        <v>0</v>
      </c>
      <c r="D25" s="72">
        <v>50</v>
      </c>
      <c r="E25" s="72">
        <v>50</v>
      </c>
      <c r="F25" s="72">
        <v>0</v>
      </c>
      <c r="G25" s="73">
        <v>0</v>
      </c>
    </row>
    <row r="26" spans="1:7" x14ac:dyDescent="0.3">
      <c r="A26" s="74"/>
      <c r="B26" s="75" t="s">
        <v>58</v>
      </c>
      <c r="C26" s="75">
        <v>4</v>
      </c>
      <c r="D26" s="75">
        <v>42.7</v>
      </c>
      <c r="E26" s="75">
        <v>7.3</v>
      </c>
      <c r="F26" s="75">
        <v>43.319510615887623</v>
      </c>
      <c r="G26" s="76">
        <v>33</v>
      </c>
    </row>
    <row r="27" spans="1:7" x14ac:dyDescent="0.3">
      <c r="A27" s="74"/>
      <c r="B27" s="75" t="s">
        <v>72</v>
      </c>
      <c r="C27" s="75">
        <v>18</v>
      </c>
      <c r="D27" s="75">
        <v>9.1</v>
      </c>
      <c r="E27" s="75">
        <v>6.3</v>
      </c>
      <c r="F27" s="75">
        <v>76.934388274448281</v>
      </c>
      <c r="G27" s="76">
        <v>743.1</v>
      </c>
    </row>
    <row r="28" spans="1:7" x14ac:dyDescent="0.3">
      <c r="A28" s="74"/>
      <c r="B28" s="75" t="s">
        <v>61</v>
      </c>
      <c r="C28" s="75">
        <v>7</v>
      </c>
      <c r="D28" s="75">
        <v>5.3</v>
      </c>
      <c r="E28" s="75">
        <v>10.4</v>
      </c>
      <c r="F28" s="75">
        <v>82.524558218197754</v>
      </c>
      <c r="G28" s="76">
        <v>801.9</v>
      </c>
    </row>
    <row r="29" spans="1:7" x14ac:dyDescent="0.3">
      <c r="A29" s="74"/>
      <c r="B29" s="75" t="s">
        <v>54</v>
      </c>
      <c r="C29" s="75">
        <v>1</v>
      </c>
      <c r="D29" s="75">
        <v>10.5</v>
      </c>
      <c r="E29" s="75">
        <v>27.9</v>
      </c>
      <c r="F29" s="75">
        <v>100.78079003092407</v>
      </c>
      <c r="G29" s="76">
        <v>240.1</v>
      </c>
    </row>
    <row r="30" spans="1:7" x14ac:dyDescent="0.3">
      <c r="A30" s="77"/>
      <c r="B30" s="78" t="s">
        <v>52</v>
      </c>
      <c r="C30" s="79">
        <v>0</v>
      </c>
      <c r="D30" s="79">
        <v>50</v>
      </c>
      <c r="E30" s="79">
        <v>50</v>
      </c>
      <c r="F30" s="79">
        <v>146.0429154781454</v>
      </c>
      <c r="G30" s="80">
        <v>0</v>
      </c>
    </row>
  </sheetData>
  <mergeCells count="5">
    <mergeCell ref="A2:A5"/>
    <mergeCell ref="A6:A12"/>
    <mergeCell ref="A13:A19"/>
    <mergeCell ref="A20:A24"/>
    <mergeCell ref="A25:A30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tabActivate">
  <ribbon startFromScratch="false">
    <tabs>
      <tab id="VRPSpreadsheetSolver" label="VRP Spreadsheet Solver">
        <group id="customGroup1" autoScale="true">
          <menu id="menu1" label="0. Reset" imageMso="Delete" size="large">
            <button id="customButton1" label="0. Reset the workbook" imageMso="Delete" onAction="ResetWorkbookRibbonCall"/>
          </menu>
        </group>
        <group id="customGroup2" imageMso="SmallIcons">
          <menu id="menu2" label="1. Locations" imageMso="SmallIcons" size="large">
            <button id="customButton2" label="1.1. Setup Locations Worksheet" imageMso="AdpDiagramAddTable" onAction="SetupLocationsWorksheetRibbonCall"/>
            <button id="customButton3" label="1.2. Populate Lat/Lon using addresses" imageMso="WebPagePreview" onAction="PopulateLatitudeAndLongitudeRibbonCall"/>
            <button id="customButton4" label="1.3. Sort locations alphabetically" imageMso="SortUp" onAction="SortLocationsRibbonCall"/>
          </menu>
        </group>
        <group id="customGroup3" imageMso="ObjectEditPoints">
          <menu id="menu3" label="2. Distances" imageMso="ObjectEditPoints" size="large">
            <button id="customButton5" label="2.1. Setup Distances Worksheet" imageMso="AdpDiagramAddTable" onAction="SetupDistancesWorksheetRibbonCall"/>
            <button id="customButton6" label="2.2. Populate Distances Worksheet" imageMso="WebPagePreview" onAction="PopulateDistancesRibbonCall"/>
          </menu>
        </group>
        <group id="customGroup4">
          <menu id="menu4" label="3. Vehicles" imageMso="DiagramPyramidInsertClassic" size="large">
            <button id="customButton7" label="3. Setup Vehicles Worksheet" imageMso="AdpDiagramAddTable" onAction="SetupVehiclesWorksheetRibbonCall"/>
          </menu>
        </group>
        <group id="customGroup5">
          <menu id="menu5" label="4. Solution" imageMso="AdpPrimaryKey" size="large">
            <button id="customButton8" label="4. Setup Solution Worksheet" imageMso="AdpDiagramAddTable" onAction="SetupSolutionWorksheetRibbonCall"/>
          </menu>
        </group>
        <group id="customGroup6">
          <menu id="menu6" label="5. Visualization" imageMso="ShowTimeZones" size="large">
            <button id="customButton9" label="5. Setup Visualization Worksheet" imageMso="ShowTimeZones" onAction="SetupVisualizationWorksheetRibbonCall"/>
          </menu>
        </group>
        <group id="customGroup7" imageMso="AnimationStartDropdown">
          <menu id="menu7" label="6. Solver" imageMso="AnimationStartDropdown" size="large">
            <button id="customButton10" label="6.1. Engage VRP Spreadsheet Solver" imageMso="AnimationStartDropdown" onAction="VRP_Solver_ribbon_call"/>
            <button id="customButton11" label="6.2. Feasibility Check" imageMso="AdvancedFind" onAction="FeasibilityCheckDataAndSolutionRibbonCall"/>
            <button id="customButton12" label="6.3. Engage external solver" imageMso="TableIndexes" onAction="external_vrp_solver_ribbon_call"/>
          </menu>
        </group>
        <group id="customGroup8" imageMso="Info">
          <menu id="menu8" label="Info" imageMso="Info" size="large">
            <button id="customButton13" label="Send feedback or ask a question" imageMso="ContactCardSendEmail" onAction="SendFeedbackRibbonCall"/>
            <button id="customButton14" label="Watch the tutorial video on YouTube" imageMso="MovieFromFileInsert" onAction="WatchTutorialRibbonCall"/>
            <button id="customButton15" label="About" imageMso="Info" onAction="AboutRibbonCall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VRP Solver Console</vt:lpstr>
      <vt:lpstr>1.Locations</vt:lpstr>
      <vt:lpstr>2.Distances</vt:lpstr>
      <vt:lpstr>3.Vehicles</vt:lpstr>
      <vt:lpstr>4.Solution</vt:lpstr>
      <vt:lpstr>Sheet15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batuhan.organ</cp:lastModifiedBy>
  <dcterms:created xsi:type="dcterms:W3CDTF">2013-07-17T23:20:08Z</dcterms:created>
  <dcterms:modified xsi:type="dcterms:W3CDTF">2019-11-03T12:39:12Z</dcterms:modified>
</cp:coreProperties>
</file>